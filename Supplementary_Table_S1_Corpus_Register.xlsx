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 sheetId="2" state="visible" r:id="rId4"/>
    <sheet name="not_in_corpus" sheetId="3" state="visible" r:id="rId5"/>
    <sheet name="codebook" sheetId="4" state="visible" r:id="rId6"/>
    <sheet name="class_definitions" sheetId="5" state="visible" r:id="rId7"/>
    <sheet name="Counts" sheetId="6" state="visible" r:id="rId8"/>
    <sheet name="PRISMA_check" sheetId="7" state="visible" r:id="rId9"/>
    <sheet name="search_concepts_table2" sheetId="8" state="visible" r:id="rId10"/>
    <sheet name="search_protocol" sheetId="9" state="visible" r:id="rId11"/>
    <sheet name="validation_result" sheetId="10" state="visible" r:id="rId12"/>
    <sheet name="validation_terms" sheetId="11" state="visible" r:id="rId13"/>
    <sheet name="protocol_history" sheetId="12" state="visible" r:id="rId14"/>
    <sheet name="openalex_fields" sheetId="13" state="visible" r:id="rId15"/>
    <sheet name="bib_corrections" sheetId="14" state="visible" r:id="rId16"/>
    <sheet name="decisions_log" sheetId="15" state="visible" r:id="rId17"/>
  </sheets>
  <definedNames>
    <definedName function="false" hidden="true" localSheetId="13" name="_xlnm._FilterDatabase" vbProcedure="false">bib_corrections!$A$1:$F$19</definedName>
    <definedName function="false" hidden="true" localSheetId="4" name="_xlnm._FilterDatabase" vbProcedure="false">class_definitions!$A$1:$F$12</definedName>
    <definedName function="false" hidden="true" localSheetId="3" name="_xlnm._FilterDatabase" vbProcedure="false">codebook!$A$1:$C$19</definedName>
    <definedName function="false" hidden="true" localSheetId="1" name="_xlnm._FilterDatabase" vbProcedure="false">Data!$A$1:$X$127</definedName>
    <definedName function="false" hidden="true" localSheetId="14" name="_xlnm._FilterDatabase" vbProcedure="false">decisions_log!$A$1:$C$30</definedName>
    <definedName function="false" hidden="true" localSheetId="2" name="_xlnm._FilterDatabase" vbProcedure="false">not_in_corpus!$A$1:$H$21</definedName>
    <definedName function="false" hidden="true" localSheetId="12" name="_xlnm._FilterDatabase" vbProcedure="false">openalex_fields!$A$1:$G$83</definedName>
    <definedName function="false" hidden="true" localSheetId="11" name="_xlnm._FilterDatabase" vbProcedure="false">protocol_history!$A$17:$C$44</definedName>
    <definedName function="false" hidden="true" localSheetId="7" name="_xlnm._FilterDatabase" vbProcedure="false">search_concepts_table2!$A$1:$D$7</definedName>
    <definedName function="false" hidden="true" localSheetId="9" name="_xlnm._FilterDatabase" vbProcedure="false">validation_result!$A$84:$C$101</definedName>
    <definedName function="false" hidden="true" localSheetId="10" name="_xlnm._FilterDatabase" vbProcedure="false">validation_terms!$A$1:$H$89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<sst xmlns="http://schemas.openxmlformats.org/spreadsheetml/2006/main" count="4493" uniqueCount="1929">
  <si>
    <t xml:space="preserve">Supplementary Table S1 - Register of the review corpus (126 studies)</t>
  </si>
  <si>
    <t xml:space="preserve">Connecting Social Media Analysis and Financial Market Events: A Systematic Survey</t>
  </si>
  <si>
    <t xml:space="preserve">What this file is</t>
  </si>
  <si>
    <t xml:space="preserve">A study-level register of the 126 works included in the final synthesis. Each record is linked to its PRISMA category (Figure: PRISMA flow diagram), the manuscript section in which it is analysed and, where applicable, its methodological class (C1-C6, F1-F5) and appendix table.</t>
  </si>
  <si>
    <t xml:space="preserve">The register was compiled from the final manuscript and its bibliographic database on 18 October 2026 and synchronised with the revised manuscript on 19 October 2026 (all 146 cited keys: 126 in the corpus, 20 on not_in_corpus); bibliographic data are taken from surveybib_corrected.bib. Scripts and data files are described in the README.md of the accompanying repository.</t>
  </si>
  <si>
    <t xml:space="preserve">How the corpus was checked</t>
  </si>
  <si>
    <t xml:space="preserve">Every PRISMA category count is recomputed from the Data sheet (sheet PRISMA_check) and matches the flow diagram: social media analysis 59, financial market events 40, cross-domain events and causality 27 (total 126). Publication types are recomputed on the Counts sheet and match the corpus-composition table (103 journal articles, 7 conference papers, 3 books, 2 book chapters, 11 preprints/working papers).</t>
  </si>
  <si>
    <t xml:space="preserve">Metadata check</t>
  </si>
  <si>
    <t xml:space="preserve">On 19 October 2026 the bibliographic metadata of all 126 studies were checked against OpenAlex and their DOIs against Crossref (verify_corpus.py); corrections to the bibliographic database are listed on sheet bib_corrections.</t>
  </si>
  <si>
    <t xml:space="preserve">Retrospective known-item retrieval check (supplementary; sheets search_protocol, validation_result, validation_terms, protocol_history, openalex_fields)</t>
  </si>
  <si>
    <t xml:space="preserve">One protocol (search_protocol), following the objective approach of Hausner et al. (2012, Systematic Reviews 1:19). The 82 included studies published 2021-2026 were split at random within each flow-diagram category (seed 20261019) into a development set (44) and a validation set (38). Candidate terms were taken from the development titles only (words and two-word phrases in at least two titles) and from the keywords of Table 2; terms over-represented in the development titles relative to OpenAlex were kept, with the threshold chosen on the development set (R = 100), giving a title query of 27 terms (frozen, SHA-256 recorded). Restrictions: publication dates 2020-2026, ineligible document types excluded, OpenAlex subject fields of the development studies; no language restriction.</t>
  </si>
  <si>
    <t xml:space="preserve">Result (20 October 2026): 311,556 records (528,902 without the subject-field restriction on the same day; -41.1%); validation set 29 of 38 studies retrieved (76.3%, 95% CI 60.8-87.0%), 29 of the 36 indexed in OpenAlex (80.6%, 95% CI 65.0-90.2%); development set 42 of 44. The subject-field restriction was chosen after the fields of the validation studies had been inspected, so it is not independently validated; it did not remove any of the known included studies retrieved by the original query. The final configuration is used for the reported filtered retrieval result, while the original pre-specified configuration and all intermediate runs are retained as part of the methodological audit trail. The original configuration, a language filter that lost two studies without an assigned language, and rejected phrase-based variants are on sheet protocol_history. The check measures retrieval of known included studies; because both samples come from the included corpus, it cannot establish the completeness or sensitivity of the original search. Per-study results: Data, columns validation_set and retrieved_by_final_query.</t>
  </si>
  <si>
    <t xml:space="preserve">Sheets</t>
  </si>
  <si>
    <t xml:space="preserve">Data - one row per included study. | not_in_corpus - 20 works cited in the manuscript only for background or methodological guidance. | codebook - definition of every column and label. | class_definitions - definitions of classes C1-C6 and F1-F5 quoted from the manuscript, with the assignment procedure and counts (formulas). | Counts - publication types, themes and classes (formulas). | PRISMA_check - diagram vs register (formulas). | search_concepts_table2 - search concepts and Boolean strings as reported in the manuscript. | search_protocol - protocol of the known-item retrieval check. | validation_result - filters, frozen query, threshold, records, retrieval in the development and validation sets, per-study result. | validation_terms - candidate terms with OpenAlex counts and over-representation ratios. | protocol_history - methodological audit trail: all configurations run (original pre-specified, intermediate, dropped, rejected and final), with records and retrieval; records by OpenAlex field. | openalex_fields - OpenAlex field, subfield and primary topic of the 82 studies published 2021-2026. | bib_corrections - corrections applied to surveybib.bib. | decisions_log - decisions taken when compiling the register.</t>
  </si>
  <si>
    <t xml:space="preserve">study_id</t>
  </si>
  <si>
    <t xml:space="preserve">bibkey</t>
  </si>
  <si>
    <t xml:space="preserve">authors</t>
  </si>
  <si>
    <t xml:space="preserve">year</t>
  </si>
  <si>
    <t xml:space="preserve">title</t>
  </si>
  <si>
    <t xml:space="preserve">venue</t>
  </si>
  <si>
    <t xml:space="preserve">publication_type</t>
  </si>
  <si>
    <t xml:space="preserve">doi</t>
  </si>
  <si>
    <t xml:space="preserve">theme</t>
  </si>
  <si>
    <t xml:space="preserve">prisma_box</t>
  </si>
  <si>
    <t xml:space="preserve">xref_to</t>
  </si>
  <si>
    <t xml:space="preserve">section_no</t>
  </si>
  <si>
    <t xml:space="preserve">section</t>
  </si>
  <si>
    <t xml:space="preserve">method_class</t>
  </si>
  <si>
    <t xml:space="preserve">appendix_table</t>
  </si>
  <si>
    <t xml:space="preserve">cited_in</t>
  </si>
  <si>
    <t xml:space="preserve">study_role</t>
  </si>
  <si>
    <t xml:space="preserve">revision_status</t>
  </si>
  <si>
    <t xml:space="preserve">metadata_check</t>
  </si>
  <si>
    <t xml:space="preserve">note</t>
  </si>
  <si>
    <t xml:space="preserve">openalex_id</t>
  </si>
  <si>
    <t xml:space="preserve">in_search_window</t>
  </si>
  <si>
    <t xml:space="preserve">validation_set</t>
  </si>
  <si>
    <t xml:space="preserve">retrieved_by_final_query</t>
  </si>
  <si>
    <t xml:space="preserve">S001</t>
  </si>
  <si>
    <t xml:space="preserve">vandenbos2007apa</t>
  </si>
  <si>
    <t xml:space="preserve">VandenBos, Gary R.</t>
  </si>
  <si>
    <t xml:space="preserve">APA Dictionary of Psychology</t>
  </si>
  <si>
    <t xml:space="preserve">American Psychological Association</t>
  </si>
  <si>
    <t xml:space="preserve">Book</t>
  </si>
  <si>
    <t xml:space="preserve">Social media analysis</t>
  </si>
  <si>
    <t xml:space="preserve">Opinion in Social Networks</t>
  </si>
  <si>
    <t xml:space="preserve">3.2</t>
  </si>
  <si>
    <t xml:space="preserve">How Opinion Is Defined</t>
  </si>
  <si>
    <t xml:space="preserve">3.2 How Opinion Is Defined</t>
  </si>
  <si>
    <t xml:space="preserve">Foundational</t>
  </si>
  <si>
    <t xml:space="preserve">OpenAlex W1700102289 (matched by title); no DOI in .bib</t>
  </si>
  <si>
    <t xml:space="preserve">W1700102289</t>
  </si>
  <si>
    <t xml:space="preserve">no</t>
  </si>
  <si>
    <t xml:space="preserve">S002</t>
  </si>
  <si>
    <t xml:space="preserve">musch2003psychology</t>
  </si>
  <si>
    <t xml:space="preserve">Musch, Jochen; Klauer, Karl C</t>
  </si>
  <si>
    <t xml:space="preserve">The psychology of evaluation: Affective processes in cognition and emotion</t>
  </si>
  <si>
    <t xml:space="preserve">Psychology Press</t>
  </si>
  <si>
    <t xml:space="preserve">Not indexed in OpenAlex</t>
  </si>
  <si>
    <t xml:space="preserve">S003</t>
  </si>
  <si>
    <t xml:space="preserve">zhang4450056integrated</t>
  </si>
  <si>
    <t xml:space="preserve">Zhang, Xiaoming John; Zhang, Ping</t>
  </si>
  <si>
    <t xml:space="preserve">An Integrated Mathematical Framework for Opinion Dynamics</t>
  </si>
  <si>
    <t xml:space="preserve">Available at SSRN</t>
  </si>
  <si>
    <t xml:space="preserve">Preprint / working paper</t>
  </si>
  <si>
    <t xml:space="preserve">10.2139/ssrn.4450056</t>
  </si>
  <si>
    <t xml:space="preserve">OpenAlex W4376855031; Crossref DOI record checked</t>
  </si>
  <si>
    <t xml:space="preserve">W4376855031</t>
  </si>
  <si>
    <t xml:space="preserve">yes</t>
  </si>
  <si>
    <t xml:space="preserve">development</t>
  </si>
  <si>
    <t xml:space="preserve">S004</t>
  </si>
  <si>
    <t xml:space="preserve">degroot1974reaching</t>
  </si>
  <si>
    <t xml:space="preserve">DeGroot, Morris H</t>
  </si>
  <si>
    <t xml:space="preserve">Reaching a consensus</t>
  </si>
  <si>
    <t xml:space="preserve">Journal of the American Statistical association</t>
  </si>
  <si>
    <t xml:space="preserve">Journal article</t>
  </si>
  <si>
    <t xml:space="preserve">10.1080/01621459.1974.10480137</t>
  </si>
  <si>
    <t xml:space="preserve">OpenAlex W1998692453; Crossref DOI record checked</t>
  </si>
  <si>
    <t xml:space="preserve">W1998692453</t>
  </si>
  <si>
    <t xml:space="preserve">S005</t>
  </si>
  <si>
    <t xml:space="preserve">hegselmann2002opinion</t>
  </si>
  <si>
    <t xml:space="preserve">Hegselmann, Rainer; Krause, Ulrich</t>
  </si>
  <si>
    <t xml:space="preserve">Opinion dynamics and bounded confidence: models, analysis and simulation</t>
  </si>
  <si>
    <t xml:space="preserve">Journal of Artificial Societies and Social Simulation</t>
  </si>
  <si>
    <t xml:space="preserve">OpenAlex W2113096089 (matched by title); no DOI in .bib</t>
  </si>
  <si>
    <t xml:space="preserve">Corrected in surveybib_corrected.bib (2026-10-19): journal: Typo in journal name</t>
  </si>
  <si>
    <t xml:space="preserve">W2113096089</t>
  </si>
  <si>
    <t xml:space="preserve">S006</t>
  </si>
  <si>
    <t xml:space="preserve">friedkin1990social</t>
  </si>
  <si>
    <t xml:space="preserve">Friedkin, Noah E; Johnsen, Eugene C</t>
  </si>
  <si>
    <t xml:space="preserve">Social influence and opinions</t>
  </si>
  <si>
    <t xml:space="preserve">Journal of mathematical sociology</t>
  </si>
  <si>
    <t xml:space="preserve">10.1080/0022250X.1990.9990069</t>
  </si>
  <si>
    <t xml:space="preserve">OpenAlex W2027514326; Crossref DOI record checked</t>
  </si>
  <si>
    <t xml:space="preserve">W2027514326</t>
  </si>
  <si>
    <t xml:space="preserve">S007</t>
  </si>
  <si>
    <t xml:space="preserve">acemoglu2011opinion</t>
  </si>
  <si>
    <t xml:space="preserve">Acemoglu, Daron; Ozdaglar, Asuman</t>
  </si>
  <si>
    <t xml:space="preserve">Opinion dynamics and learning in social networks</t>
  </si>
  <si>
    <t xml:space="preserve">Dynamic Games and Applications</t>
  </si>
  <si>
    <t xml:space="preserve">10.1007/s13235-010-0004-1</t>
  </si>
  <si>
    <t xml:space="preserve">OpenAlex W3122266916; Crossref DOI record checked</t>
  </si>
  <si>
    <t xml:space="preserve">W3122266916</t>
  </si>
  <si>
    <t xml:space="preserve">S008</t>
  </si>
  <si>
    <t xml:space="preserve">gaillard2021countering</t>
  </si>
  <si>
    <t xml:space="preserve">Gaillard, Stefan; Oláh, Zoril A; Venmans, Stephan; Burke, Michael</t>
  </si>
  <si>
    <t xml:space="preserve">Countering the cognitive, linguistic, and psychological underpinnings behind susceptibility to fake news: A review of current literature with special focus on the role of age and digital literacy</t>
  </si>
  <si>
    <t xml:space="preserve">Frontiers in Communication</t>
  </si>
  <si>
    <t xml:space="preserve">10.3389/fcomm.2021.661801</t>
  </si>
  <si>
    <t xml:space="preserve">Core</t>
  </si>
  <si>
    <t xml:space="preserve">OpenAlex W3182204087; Crossref DOI record checked</t>
  </si>
  <si>
    <t xml:space="preserve">W3182204087</t>
  </si>
  <si>
    <t xml:space="preserve">validation</t>
  </si>
  <si>
    <t xml:space="preserve">S009</t>
  </si>
  <si>
    <t xml:space="preserve">kietzmann2011social</t>
  </si>
  <si>
    <t xml:space="preserve">Kietzmann, Jan H; Hermkens, Kristopher; McCarthy, Ian P; Silvestre, Bruno S</t>
  </si>
  <si>
    <t xml:space="preserve">Social media? Get serious! Understanding the functional building blocks of social media</t>
  </si>
  <si>
    <t xml:space="preserve">Business horizons</t>
  </si>
  <si>
    <t xml:space="preserve">10.1016/j.bushor.2011.01.005</t>
  </si>
  <si>
    <t xml:space="preserve">OpenAlex W2093425966; Crossref DOI record checked</t>
  </si>
  <si>
    <t xml:space="preserve">W2093425966</t>
  </si>
  <si>
    <t xml:space="preserve">S010</t>
  </si>
  <si>
    <t xml:space="preserve">ienca2023artificial</t>
  </si>
  <si>
    <t xml:space="preserve">Ienca, Marcello</t>
  </si>
  <si>
    <t xml:space="preserve">On artificial intelligence and manipulation</t>
  </si>
  <si>
    <t xml:space="preserve">Topoi</t>
  </si>
  <si>
    <t xml:space="preserve">10.1007/s11245-023-09940-3</t>
  </si>
  <si>
    <t xml:space="preserve">Opinion Manipulation: Definition and Typologies</t>
  </si>
  <si>
    <t xml:space="preserve">3.3</t>
  </si>
  <si>
    <t xml:space="preserve">Opinion Manipulation and Typology</t>
  </si>
  <si>
    <t xml:space="preserve">3.3 Opinion Manipulation and Typology</t>
  </si>
  <si>
    <t xml:space="preserve">OpenAlex W4381430332 (matched by title); DOI corrected in .bib</t>
  </si>
  <si>
    <t xml:space="preserve">Corrected in surveybib_corrected.bib (2026-10-19): doi: DOI not registered in Crossref; DOI of the matching OpenAlex record</t>
  </si>
  <si>
    <t xml:space="preserve">W4381430332</t>
  </si>
  <si>
    <t xml:space="preserve">S011</t>
  </si>
  <si>
    <t xml:space="preserve">cayuela2025influence</t>
  </si>
  <si>
    <t xml:space="preserve">Cayuela Tudela, Alejandro David; Pastor-Galindo, Javier; Nespoli, Pantaleone; Ruipérez-Valiente, José A.</t>
  </si>
  <si>
    <t xml:space="preserve">The influence operation ontology (IOO)</t>
  </si>
  <si>
    <t xml:space="preserve">arXiv preprint arXiv:2503.07304</t>
  </si>
  <si>
    <t xml:space="preserve">10.48550/arXiv.2503.07304</t>
  </si>
  <si>
    <t xml:space="preserve">arXiv preprint; not indexed in OpenAlex.</t>
  </si>
  <si>
    <t xml:space="preserve">not indexed in OpenAlex</t>
  </si>
  <si>
    <t xml:space="preserve">S012</t>
  </si>
  <si>
    <t xml:space="preserve">chang2022systematic</t>
  </si>
  <si>
    <t xml:space="preserve">Chang, Hao-Tien; Tsai, Fu-Ching</t>
  </si>
  <si>
    <t xml:space="preserve">A systematic review of Internet public opinion manipulation</t>
  </si>
  <si>
    <t xml:space="preserve">Procedia Computer Science</t>
  </si>
  <si>
    <t xml:space="preserve">10.1016/j.procs.2022.09.373</t>
  </si>
  <si>
    <t xml:space="preserve">OpenAlex W4312651142 (matched by title); DOI corrected in .bib</t>
  </si>
  <si>
    <t xml:space="preserve">Corrected in surveybib_corrected.bib (2026-10-19): doi: DOI resolved to another article (A reverse personnel assignment method ...)</t>
  </si>
  <si>
    <t xml:space="preserve">W4312651142</t>
  </si>
  <si>
    <t xml:space="preserve">S013</t>
  </si>
  <si>
    <t xml:space="preserve">pastor2025influence</t>
  </si>
  <si>
    <t xml:space="preserve">Pastor-Galindo, Javier; Nespoli, Pantaleone; Ruipérez-Valiente, José A; Camacho, David</t>
  </si>
  <si>
    <t xml:space="preserve">Influence operations in social networks</t>
  </si>
  <si>
    <t xml:space="preserve">arXiv preprint arXiv:2502.11827</t>
  </si>
  <si>
    <t xml:space="preserve">10.48550/arXiv.2502.11827</t>
  </si>
  <si>
    <t xml:space="preserve">OpenAlex W4407719590; arXiv DOI (registered with DataCite, not Crossref)</t>
  </si>
  <si>
    <t xml:space="preserve">Cited as arXiv preprint; OpenAlex lists a published version (IEEE Internet Computing, DOI 10.1109/MIC.2026.3700710). Optional update; would change publication-type counts.</t>
  </si>
  <si>
    <t xml:space="preserve">W4407719590</t>
  </si>
  <si>
    <t xml:space="preserve">S014</t>
  </si>
  <si>
    <t xml:space="preserve">pal2025media</t>
  </si>
  <si>
    <t xml:space="preserve">Pal, Mayuree; Rashmi, CP</t>
  </si>
  <si>
    <t xml:space="preserve">Media Manipulation and Disinformation: The Role of AI in Fake News Creation and Its Impact on Trust in Media</t>
  </si>
  <si>
    <t xml:space="preserve">Digital Citizenship and Building a Responsible Online Presence</t>
  </si>
  <si>
    <t xml:space="preserve">10.4018/979-8-3693-6675-2.ch013</t>
  </si>
  <si>
    <t xml:space="preserve">OpenAlex W4408684161; Crossref DOI record checked</t>
  </si>
  <si>
    <t xml:space="preserve">Book chapter recorded as @article in .bib.</t>
  </si>
  <si>
    <t xml:space="preserve">W4408684161</t>
  </si>
  <si>
    <t xml:space="preserve">S015</t>
  </si>
  <si>
    <t xml:space="preserve">kumarsocial</t>
  </si>
  <si>
    <t xml:space="preserve">Kumar, Pramod</t>
  </si>
  <si>
    <t xml:space="preserve">Social Media Manipulation: A Strategic Tool in Contemporary Information Warfare</t>
  </si>
  <si>
    <t xml:space="preserve">New Man International Journal of Multidisciplinary Studies (NMIJMS)</t>
  </si>
  <si>
    <t xml:space="preserve">Weak record: no volume, issue, pages or DOI; not indexed in OpenAlex.</t>
  </si>
  <si>
    <t xml:space="preserve">S016</t>
  </si>
  <si>
    <t xml:space="preserve">paul2023mathematical</t>
  </si>
  <si>
    <t xml:space="preserve">Paul, Arindam Kumar; Biswas, Md Haider Ali</t>
  </si>
  <si>
    <t xml:space="preserve">A Mathematical Theory for Studying and Controlling the Disinformation System Dynamics</t>
  </si>
  <si>
    <t xml:space="preserve">International Conference on Mathematical Analysis and Application in Modeling</t>
  </si>
  <si>
    <t xml:space="preserve">Conference paper</t>
  </si>
  <si>
    <t xml:space="preserve">10.48550/arXiv.2401.05078</t>
  </si>
  <si>
    <t xml:space="preserve">Class 1 - Mathematical and System-Dynamics Modelling</t>
  </si>
  <si>
    <t xml:space="preserve">3.4</t>
  </si>
  <si>
    <t xml:space="preserve">Opinion Detection and Modeling (C1)</t>
  </si>
  <si>
    <t xml:space="preserve">C1</t>
  </si>
  <si>
    <t xml:space="preserve">Table C1</t>
  </si>
  <si>
    <t xml:space="preserve">3.4 Opinion Detection and Modeling; Appendix A.1</t>
  </si>
  <si>
    <t xml:space="preserve">OpenAlex W4407057928; arXiv DOI (registered with DataCite, not Crossref)</t>
  </si>
  <si>
    <t xml:space="preserve">Cited with the arXiv DOI; OpenAlex lists the published chapter (DOI 10.1007/978-981-97-9194-1_20). Optional update.</t>
  </si>
  <si>
    <t xml:space="preserve">W4407057928</t>
  </si>
  <si>
    <t xml:space="preserve">S017</t>
  </si>
  <si>
    <t xml:space="preserve">ge2024novel</t>
  </si>
  <si>
    <t xml:space="preserve">Ge, Qing; Huang, Chen; Xu, Huiling; Zhang, Jun; Wang, Haixia</t>
  </si>
  <si>
    <t xml:space="preserve">A Novel SIR Model-Based Public Opinion Propagation and Optimal Control</t>
  </si>
  <si>
    <t xml:space="preserve">2024 China Automation Congress (CAC)</t>
  </si>
  <si>
    <t xml:space="preserve">10.1109/CAC63892.2024.10865290</t>
  </si>
  <si>
    <t xml:space="preserve">OpenAlex W4407432899; Crossref DOI record checked</t>
  </si>
  <si>
    <t xml:space="preserve">W4407432899</t>
  </si>
  <si>
    <t xml:space="preserve">S018</t>
  </si>
  <si>
    <t xml:space="preserve">evangelatos2025modeling</t>
  </si>
  <si>
    <t xml:space="preserve">Evangelatos, Spyridon; Veroni, Eleni; Efthymiou, Vasilis; Nikolopoulos, Christos</t>
  </si>
  <si>
    <t xml:space="preserve">Modeling disinformation spread in social networks: Phase transitions and mean-field analysis</t>
  </si>
  <si>
    <t xml:space="preserve">ACM Transactions on the Web</t>
  </si>
  <si>
    <t xml:space="preserve">10.1145/3747287</t>
  </si>
  <si>
    <t xml:space="preserve">OpenAlex W4412593918; Crossref DOI record checked</t>
  </si>
  <si>
    <t xml:space="preserve">W4412593918</t>
  </si>
  <si>
    <t xml:space="preserve">S019</t>
  </si>
  <si>
    <t xml:space="preserve">zhou2020two</t>
  </si>
  <si>
    <t xml:space="preserve">Zhou, Qinyue; Wu, Zhibin; Altalhi, Abdulrahman H; Herrera, Francisco</t>
  </si>
  <si>
    <t xml:space="preserve">A two-step communication opinion dynamics model with self-persistence and influence index for social networks based on the degroot model</t>
  </si>
  <si>
    <t xml:space="preserve">Information Sciences</t>
  </si>
  <si>
    <t xml:space="preserve">10.1016/j.ins.2020.01.052</t>
  </si>
  <si>
    <t xml:space="preserve">OpenAlex W3004050991 (matched by title); DOI corrected in .bib</t>
  </si>
  <si>
    <t xml:space="preserve">Corrected in surveybib_corrected.bib (2026-10-19): doi: DOI resolved to another article (Recognizing novel patterns via adversarial learning ...)</t>
  </si>
  <si>
    <t xml:space="preserve">W3004050991</t>
  </si>
  <si>
    <t xml:space="preserve">S020</t>
  </si>
  <si>
    <t xml:space="preserve">butts2023mathematical</t>
  </si>
  <si>
    <t xml:space="preserve">Butts, David J; Bollman, Sam A; Murillo, Michael S</t>
  </si>
  <si>
    <t xml:space="preserve">Mathematical modeling of disinformation and effectiveness of mitigation policies</t>
  </si>
  <si>
    <t xml:space="preserve">Scientific Reports</t>
  </si>
  <si>
    <t xml:space="preserve">10.1038/s41598-023-45710-2</t>
  </si>
  <si>
    <t xml:space="preserve">OpenAlex W4388048121 (matched by title); DOI corrected in .bib</t>
  </si>
  <si>
    <t xml:space="preserve">W4388048121</t>
  </si>
  <si>
    <t xml:space="preserve">S021</t>
  </si>
  <si>
    <t xml:space="preserve">bhalla2025local</t>
  </si>
  <si>
    <t xml:space="preserve">Bhalla, Nikita; Lechowicz, Adam; Musco, Cameron</t>
  </si>
  <si>
    <t xml:space="preserve">Local edge dynamics and opinion polarization</t>
  </si>
  <si>
    <t xml:space="preserve">ACM Transactions on Intelligent Systems and Technology</t>
  </si>
  <si>
    <t xml:space="preserve">10.1145/3709006</t>
  </si>
  <si>
    <t xml:space="preserve">OpenAlex W3216173699; Crossref DOI record checked</t>
  </si>
  <si>
    <t xml:space="preserve">W3216173699</t>
  </si>
  <si>
    <t xml:space="preserve">S022</t>
  </si>
  <si>
    <t xml:space="preserve">mridha2021comprehensive</t>
  </si>
  <si>
    <t xml:space="preserve">Mridha, Muhammad Firoz; Keya, Ashfia Jannat; Hamid, Md Abdul; Monowar, Muhammad Mostafa; Rahman, Md Saifur</t>
  </si>
  <si>
    <t xml:space="preserve">A comprehensive review on fake news detection with deep learning</t>
  </si>
  <si>
    <t xml:space="preserve">IEEE access</t>
  </si>
  <si>
    <t xml:space="preserve">10.1109/ACCESS.2021.3129329</t>
  </si>
  <si>
    <t xml:space="preserve">Class 2 - Machine &amp; Deep Learning Content Detection</t>
  </si>
  <si>
    <t xml:space="preserve">Opinion Detection and Modeling (C2)</t>
  </si>
  <si>
    <t xml:space="preserve">C2</t>
  </si>
  <si>
    <t xml:space="preserve">Table C2</t>
  </si>
  <si>
    <t xml:space="preserve">OpenAlex W3216370178 (matched by title); DOI corrected in .bib</t>
  </si>
  <si>
    <t xml:space="preserve">Corrected in surveybib_corrected.bib (2026-10-19): doi: DOI resolved to another article (Incremental Attribute Reduction ...)</t>
  </si>
  <si>
    <t xml:space="preserve">W3216370178</t>
  </si>
  <si>
    <t xml:space="preserve">S023</t>
  </si>
  <si>
    <t xml:space="preserve">saadi2025enhancing</t>
  </si>
  <si>
    <t xml:space="preserve">Saadi, Abdelhalim; Belhadef, Hacene; Guessas, Akram; Hafirassou, Oussama</t>
  </si>
  <si>
    <t xml:space="preserve">Enhancing Fake News Detection with Transformer Models and Summarization</t>
  </si>
  <si>
    <t xml:space="preserve">Engineering, Technology &amp; Applied Science Research</t>
  </si>
  <si>
    <t xml:space="preserve">10.48084/etasr.10678</t>
  </si>
  <si>
    <t xml:space="preserve">OpenAlex W4411122931; Crossref DOI record checked</t>
  </si>
  <si>
    <t xml:space="preserve">W4411122931</t>
  </si>
  <si>
    <t xml:space="preserve">S024</t>
  </si>
  <si>
    <t xml:space="preserve">huang2025hybrid</t>
  </si>
  <si>
    <t xml:space="preserve">Huang, Tianyi; Xu, Zeqiu; Yu, Peiyang; Yi, Jingyuan; Xu, Xiaochuan</t>
  </si>
  <si>
    <t xml:space="preserve">A hybrid transformer model for fake news detection: Leveraging Bayesian optimization and bidirectional recurrent unit</t>
  </si>
  <si>
    <t xml:space="preserve">arXiv preprint arXiv:2502.09097</t>
  </si>
  <si>
    <t xml:space="preserve">10.1109/ISBDAS64762.2025.11117058</t>
  </si>
  <si>
    <t xml:space="preserve">OpenAlex W4413394554; Crossref DOI record checked</t>
  </si>
  <si>
    <t xml:space="preserve">Recorded as arXiv preprint; DOI is the published IEEE conference version.</t>
  </si>
  <si>
    <t xml:space="preserve">W4413394554</t>
  </si>
  <si>
    <t xml:space="preserve">S025</t>
  </si>
  <si>
    <t xml:space="preserve">tufchi2024transvae</t>
  </si>
  <si>
    <t xml:space="preserve">Tufchi, Shivani; Ahmed, Tanveer; Yadav, Ashima; Agrawal, Krishna Kant; Vidyarthi, Ankit</t>
  </si>
  <si>
    <t xml:space="preserve">TransVAE-PAM: A combined transformer and DAG-based approach for enhanced fake news detection in the Indian context</t>
  </si>
  <si>
    <t xml:space="preserve">ACM Transactions on Asian and Low-Resource Language Information Processing</t>
  </si>
  <si>
    <t xml:space="preserve">10.1145/3651160</t>
  </si>
  <si>
    <t xml:space="preserve">OpenAlex W4392347598; Crossref DOI record checked</t>
  </si>
  <si>
    <t xml:space="preserve">W4392347598</t>
  </si>
  <si>
    <t xml:space="preserve">S026</t>
  </si>
  <si>
    <t xml:space="preserve">sharma2025novel</t>
  </si>
  <si>
    <t xml:space="preserve">Sharma, Prateema; Al-Dayyeni, Wisam; Nagpal, Tapsi; Rana, Arun; Purohit, Rahul; Elaraby, Ahmed</t>
  </si>
  <si>
    <t xml:space="preserve">A Novel Hybrid Algorithm for Fake News Detection</t>
  </si>
  <si>
    <t xml:space="preserve">Digital Threats: Research and Practice</t>
  </si>
  <si>
    <t xml:space="preserve">10.1145/3728473</t>
  </si>
  <si>
    <t xml:space="preserve">OpenAlex W4409256702; Crossref DOI record checked</t>
  </si>
  <si>
    <t xml:space="preserve">W4409256702</t>
  </si>
  <si>
    <t xml:space="preserve">S027</t>
  </si>
  <si>
    <t xml:space="preserve">ozcelik2025detecting</t>
  </si>
  <si>
    <t xml:space="preserve">Ozcelik, Oguzhan; Toraman, Cagri; Can, Fazli</t>
  </si>
  <si>
    <t xml:space="preserve">Detecting misinformation on social media using community insights and contrastive learning</t>
  </si>
  <si>
    <t xml:space="preserve">10.1145/3709009</t>
  </si>
  <si>
    <t xml:space="preserve">OpenAlex W4405566696; Crossref DOI record checked</t>
  </si>
  <si>
    <t xml:space="preserve">W4405566696</t>
  </si>
  <si>
    <t xml:space="preserve">S028</t>
  </si>
  <si>
    <t xml:space="preserve">yang2025llm</t>
  </si>
  <si>
    <t xml:space="preserve">Yang, Ruichao; Ma, Jing; Gao, Wei; Lin, Hongzhan</t>
  </si>
  <si>
    <t xml:space="preserve">LLM-enhanced multiple instance learning for joint rumor and stance detection with social context information</t>
  </si>
  <si>
    <t xml:space="preserve">10.1145/3716856</t>
  </si>
  <si>
    <t xml:space="preserve">OpenAlex W4407369317; Crossref DOI record checked</t>
  </si>
  <si>
    <t xml:space="preserve">W4407369317</t>
  </si>
  <si>
    <t xml:space="preserve">S029</t>
  </si>
  <si>
    <t xml:space="preserve">mahmud2026detecting</t>
  </si>
  <si>
    <t xml:space="preserve">Mahmud, Tanjim; Rahman, Md Akash; Devnath, Rimon Kanthi; Hossain, Mohammad Shahadat; Andersson, Karl</t>
  </si>
  <si>
    <t xml:space="preserve">Detecting Fake News in Bangla Using Linguistic and Psychological Features</t>
  </si>
  <si>
    <t xml:space="preserve">ACM Transactions on Social Computing</t>
  </si>
  <si>
    <t xml:space="preserve">10.1145/3798302</t>
  </si>
  <si>
    <t xml:space="preserve">OpenAlex W7130827924; Crossref DOI record checked</t>
  </si>
  <si>
    <t xml:space="preserve">W7130827924</t>
  </si>
  <si>
    <t xml:space="preserve">S030</t>
  </si>
  <si>
    <t xml:space="preserve">sahitaj2025hybrid</t>
  </si>
  <si>
    <t xml:space="preserve">Sahitaj, Ariana; Sahitaj, Premtim; Solopova, Veronika; Li, Jiaao; Möller, Sebastian; Schmitt, Vera</t>
  </si>
  <si>
    <t xml:space="preserve">Hybrid Annotation for Propaganda Detection: Integrating LLM Pre-Annotations with Human Intelligence</t>
  </si>
  <si>
    <t xml:space="preserve">arXiv preprint arXiv:2507.18343</t>
  </si>
  <si>
    <t xml:space="preserve">10.18653/v1/2025.nlp4pi-1.18</t>
  </si>
  <si>
    <t xml:space="preserve">Class 3 - Hybrid Human-AI Annotation and Verification</t>
  </si>
  <si>
    <t xml:space="preserve">Opinion Detection and Modeling (C3)</t>
  </si>
  <si>
    <t xml:space="preserve">C3</t>
  </si>
  <si>
    <t xml:space="preserve">Table C3</t>
  </si>
  <si>
    <t xml:space="preserve">OpenAlex W4412944267; Crossref DOI record checked</t>
  </si>
  <si>
    <t xml:space="preserve">Recorded as arXiv preprint; DOI is the published workshop version.</t>
  </si>
  <si>
    <t xml:space="preserve">W4412944267</t>
  </si>
  <si>
    <t xml:space="preserve">S031</t>
  </si>
  <si>
    <t xml:space="preserve">fan2026skeptik</t>
  </si>
  <si>
    <t xml:space="preserve">Fan, Arlen; Lei, Fan; Corman, Steven R; Maciejewski, Ross</t>
  </si>
  <si>
    <t xml:space="preserve">Skeptik: A Hybrid Framework for Combating Potential Misinformation in Journalism</t>
  </si>
  <si>
    <t xml:space="preserve">ACM Transactions on Interactive Intelligent Systems</t>
  </si>
  <si>
    <t xml:space="preserve">10.1145/3766891</t>
  </si>
  <si>
    <t xml:space="preserve">OpenAlex W4414476222; Crossref DOI record checked</t>
  </si>
  <si>
    <t xml:space="preserve">W4414476222</t>
  </si>
  <si>
    <t xml:space="preserve">S032</t>
  </si>
  <si>
    <t xml:space="preserve">liu2024exploring</t>
  </si>
  <si>
    <t xml:space="preserve">Liu, Houjiang; Gwizdka, Jacek; Lease, Matthew</t>
  </si>
  <si>
    <t xml:space="preserve">Exploring Multidimensional Checkworthiness: Designing AI-assisted Claim Prioritization for Human Fact-checkers</t>
  </si>
  <si>
    <t xml:space="preserve">arXiv preprint arXiv:2412.08185</t>
  </si>
  <si>
    <t xml:space="preserve">10.1145/3757473</t>
  </si>
  <si>
    <t xml:space="preserve">OpenAlex W4415256754; Crossref DOI record checked</t>
  </si>
  <si>
    <t xml:space="preserve">Recorded as arXiv preprint; DOI is the published ACM version.</t>
  </si>
  <si>
    <t xml:space="preserve">W4415256754</t>
  </si>
  <si>
    <t xml:space="preserve">S033</t>
  </si>
  <si>
    <t xml:space="preserve">hrckova2025autonomation</t>
  </si>
  <si>
    <t xml:space="preserve">Hrckova, Andrea; Moro, Robert; Srba, Ivan; Simko, Jakub; Bielikova, Maria</t>
  </si>
  <si>
    <t xml:space="preserve">Autonomation, Not Automation: Activities and Needs of European Fact-checkers as a Basis for Designing Human-centered AI Systems</t>
  </si>
  <si>
    <t xml:space="preserve">ACM Journal on Responsible Computing</t>
  </si>
  <si>
    <t xml:space="preserve">10.1145/3764592</t>
  </si>
  <si>
    <t xml:space="preserve">OpenAlex W4414032582; Crossref DOI record checked</t>
  </si>
  <si>
    <t xml:space="preserve">W4414032582</t>
  </si>
  <si>
    <t xml:space="preserve">S034</t>
  </si>
  <si>
    <t xml:space="preserve">cui2025toward</t>
  </si>
  <si>
    <t xml:space="preserve">Cui, Zikun; Huang, Tianyi; Chiang, Chia-En; Du, Cuiqianhe</t>
  </si>
  <si>
    <t xml:space="preserve">Toward Verifiable Misinformation Detection: A Multi-Tool LLM Agent Framework</t>
  </si>
  <si>
    <t xml:space="preserve">arXiv preprint arXiv:2508.03092</t>
  </si>
  <si>
    <t xml:space="preserve">10.1145/3766918.3766948</t>
  </si>
  <si>
    <t xml:space="preserve">OpenAlex W4415736465; Crossref DOI record checked</t>
  </si>
  <si>
    <t xml:space="preserve">W4415736465</t>
  </si>
  <si>
    <t xml:space="preserve">S035</t>
  </si>
  <si>
    <t xml:space="preserve">lee2025countering</t>
  </si>
  <si>
    <t xml:space="preserve">Lee, Tuan-He; Fussell, Susan R</t>
  </si>
  <si>
    <t xml:space="preserve">Countering misinformation in private messaging groups: Insights from a fact-checking chatbot</t>
  </si>
  <si>
    <t xml:space="preserve">Proceedings of the ACM on human-computer interaction</t>
  </si>
  <si>
    <t xml:space="preserve">10.1145/3701189</t>
  </si>
  <si>
    <t xml:space="preserve">OpenAlex W4406258040; Crossref DOI record checked</t>
  </si>
  <si>
    <t xml:space="preserve">W4406258040</t>
  </si>
  <si>
    <t xml:space="preserve">S036</t>
  </si>
  <si>
    <t xml:space="preserve">nobre2022hierarchical</t>
  </si>
  <si>
    <t xml:space="preserve">Nobre, Gabriel Peres; Ferreira, Carlos HG; Almeida, Jussara M</t>
  </si>
  <si>
    <t xml:space="preserve">A hierarchical network-oriented analysis of user participation in misinformation spread on WhatsApp</t>
  </si>
  <si>
    <t xml:space="preserve">Information Processing &amp; Management</t>
  </si>
  <si>
    <t xml:space="preserve">10.1016/j.ipm.2021.102757</t>
  </si>
  <si>
    <t xml:space="preserve">Class 4 - Network Structure and Propagation Analysis</t>
  </si>
  <si>
    <t xml:space="preserve">Opinion Detection and Modeling (C4)</t>
  </si>
  <si>
    <t xml:space="preserve">C4</t>
  </si>
  <si>
    <t xml:space="preserve">Table C4</t>
  </si>
  <si>
    <t xml:space="preserve">3.4 Opinion Detection and Modeling; 4.1.3 Event-Level Descriptors; Appendix A.1</t>
  </si>
  <si>
    <t xml:space="preserve">OpenAlex W3203440807; Crossref DOI record checked</t>
  </si>
  <si>
    <t xml:space="preserve">W3203440807</t>
  </si>
  <si>
    <t xml:space="preserve">S037</t>
  </si>
  <si>
    <t xml:space="preserve">resende2019analyzing</t>
  </si>
  <si>
    <t xml:space="preserve">Resende, Gustavo; Melo, Philipe; CS Reis, Julio; Vasconcelos, Marisa; Almeida, Jussara M; Benevenuto, Fabrício</t>
  </si>
  <si>
    <t xml:space="preserve">Analyzing textual (mis) information shared in WhatsApp groups</t>
  </si>
  <si>
    <t xml:space="preserve">Proceedings of the 10th ACM Conference on Web Science</t>
  </si>
  <si>
    <t xml:space="preserve">10.1145/3292522.3326029</t>
  </si>
  <si>
    <t xml:space="preserve">OpenAlex W2954093511; Crossref DOI record checked</t>
  </si>
  <si>
    <t xml:space="preserve">W2954093511</t>
  </si>
  <si>
    <t xml:space="preserve">S038</t>
  </si>
  <si>
    <t xml:space="preserve">chen2022social</t>
  </si>
  <si>
    <t xml:space="preserve">Chen, Long; Chen, Jianguo; Xia, Chunhe</t>
  </si>
  <si>
    <t xml:space="preserve">Social network behavior and public opinion manipulation</t>
  </si>
  <si>
    <t xml:space="preserve">Journal of Information Security and Applications</t>
  </si>
  <si>
    <t xml:space="preserve">10.1016/j.jisa.2021.103060</t>
  </si>
  <si>
    <t xml:space="preserve">OpenAlex W4200463617; Crossref DOI record checked</t>
  </si>
  <si>
    <t xml:space="preserve">W4200463617</t>
  </si>
  <si>
    <t xml:space="preserve">S039</t>
  </si>
  <si>
    <t xml:space="preserve">loru2026compression</t>
  </si>
  <si>
    <t xml:space="preserve">Loru, Edoardo; Di Marco, Niccolò; Cinelli, Matteo; Quattrociocchi, Walter</t>
  </si>
  <si>
    <t xml:space="preserve">A Compression-Based Approach to Detecting Automated and Coordinated Behavior on Social Media</t>
  </si>
  <si>
    <t xml:space="preserve">ACM Transactions on Knowledge Discovery from Data</t>
  </si>
  <si>
    <t xml:space="preserve">10.1145/3778356</t>
  </si>
  <si>
    <t xml:space="preserve">OpenAlex W4416841974; Crossref DOI record checked</t>
  </si>
  <si>
    <t xml:space="preserve">W4416841974</t>
  </si>
  <si>
    <t xml:space="preserve">S040</t>
  </si>
  <si>
    <t xml:space="preserve">bellina2025language</t>
  </si>
  <si>
    <t xml:space="preserve">Bellina, Alessandro; Sardo, Donald Ruggiero Lo; Brugnoli, Emanuele; Saracco, Fabio; Gravino, Pietro; Loreto, Vittorio; Di Bona, Gabriele</t>
  </si>
  <si>
    <t xml:space="preserve">Language bubbles in online social networks</t>
  </si>
  <si>
    <t xml:space="preserve">arXiv preprint arXiv:2507.13068</t>
  </si>
  <si>
    <t xml:space="preserve">10.48550/arXiv.2507.13068</t>
  </si>
  <si>
    <t xml:space="preserve">OpenAlex W4415310342; arXiv DOI (registered with DataCite, not Crossref)</t>
  </si>
  <si>
    <t xml:space="preserve">W4415310342</t>
  </si>
  <si>
    <t xml:space="preserve">S041</t>
  </si>
  <si>
    <t xml:space="preserve">impicciche2025comparing</t>
  </si>
  <si>
    <t xml:space="preserve">Impiccichè, Paola; Viviani, Marco</t>
  </si>
  <si>
    <t xml:space="preserve">Comparing echo chamber detection metrics: A cross-modeling and cross-platform analysis of Twitter and Reddit</t>
  </si>
  <si>
    <t xml:space="preserve">10.1145/3707701</t>
  </si>
  <si>
    <t xml:space="preserve">OpenAlex W4405248842; Crossref DOI record checked</t>
  </si>
  <si>
    <t xml:space="preserve">W4405248842</t>
  </si>
  <si>
    <t xml:space="preserve">S042</t>
  </si>
  <si>
    <t xml:space="preserve">wang2026rumor</t>
  </si>
  <si>
    <t xml:space="preserve">Wang, R.; Lv, N.; Wang, L.; Li, Q.; Duan, S.; Xiao, Y.</t>
  </si>
  <si>
    <t xml:space="preserve">A Rumor Propagation Prediction Based on Multi-dimensional User Characteristics</t>
  </si>
  <si>
    <t xml:space="preserve">ACM Transactions on Internet Technology</t>
  </si>
  <si>
    <t xml:space="preserve">10.1145/3795885</t>
  </si>
  <si>
    <t xml:space="preserve">OpenAlex W7131085584; Crossref DOI record checked</t>
  </si>
  <si>
    <t xml:space="preserve">Volume/issue/pages in .bib look copied from another entry; verify.</t>
  </si>
  <si>
    <t xml:space="preserve">W7131085584</t>
  </si>
  <si>
    <t xml:space="preserve">S043</t>
  </si>
  <si>
    <t xml:space="preserve">fawzi2024pinocchio</t>
  </si>
  <si>
    <t xml:space="preserve">Fawzi, Mahmoud; Magdy, Walid</t>
  </si>
  <si>
    <t xml:space="preserve">"Pinocchio had a Nose, You have a Network!": On Characterizing Fake News Spreaders on Arabic Social Media</t>
  </si>
  <si>
    <t xml:space="preserve">Proceedings of the ACM on Human-Computer Interaction</t>
  </si>
  <si>
    <t xml:space="preserve">10.1145/3653702</t>
  </si>
  <si>
    <t xml:space="preserve">OpenAlex W4396218575; Crossref DOI record checked</t>
  </si>
  <si>
    <t xml:space="preserve">W4396218575</t>
  </si>
  <si>
    <t xml:space="preserve">S044</t>
  </si>
  <si>
    <t xml:space="preserve">escola2023falls</t>
  </si>
  <si>
    <t xml:space="preserve">Escolà-Gascón, Álex; Dagnall, Neil; Denovan, Andrew; Drinkwater, Kenneth; Diez-Bosch, Miriam</t>
  </si>
  <si>
    <t xml:space="preserve">Who falls for fake news? Psychological and clinical profiling evidence of fake news consumers</t>
  </si>
  <si>
    <t xml:space="preserve">Personality and individual differences</t>
  </si>
  <si>
    <t xml:space="preserve">10.1016/j.paid.2022.111893</t>
  </si>
  <si>
    <t xml:space="preserve">Class 5 - Behavioural and Psychological Modelling</t>
  </si>
  <si>
    <t xml:space="preserve">Opinion Detection and Modeling (C5)</t>
  </si>
  <si>
    <t xml:space="preserve">C5</t>
  </si>
  <si>
    <t xml:space="preserve">Table C5</t>
  </si>
  <si>
    <t xml:space="preserve">OpenAlex W4294883912; Crossref DOI record checked</t>
  </si>
  <si>
    <t xml:space="preserve">W4294883912</t>
  </si>
  <si>
    <t xml:space="preserve">S045</t>
  </si>
  <si>
    <t xml:space="preserve">smith2024unraveling</t>
  </si>
  <si>
    <t xml:space="preserve">Smith, Troy</t>
  </si>
  <si>
    <t xml:space="preserve">Unraveling the digital emotion web: exploring the relationship between online emotional expression, perception, management, psychopathologies, and social media use</t>
  </si>
  <si>
    <t xml:space="preserve">Current Psychology</t>
  </si>
  <si>
    <t xml:space="preserve">10.1007/s12144-023-05350-1</t>
  </si>
  <si>
    <t xml:space="preserve">OpenAlex W4388084625 (matched by title); DOI corrected in .bib</t>
  </si>
  <si>
    <t xml:space="preserve">W4388084625</t>
  </si>
  <si>
    <t xml:space="preserve">S046</t>
  </si>
  <si>
    <t xml:space="preserve">lutz2024linguistic</t>
  </si>
  <si>
    <t xml:space="preserve">Lutz, Bernhard; Adam, Marc; Feuerriegel, Stefan; Pröllochs, Nicolas; Neumann, Dirk</t>
  </si>
  <si>
    <t xml:space="preserve">Which linguistic cues make people fall for fake news? A comparison of cognitive and affective processing</t>
  </si>
  <si>
    <t xml:space="preserve">Proceedings of the ACM on human-Computer Interaction</t>
  </si>
  <si>
    <t xml:space="preserve">10.1145/3641030</t>
  </si>
  <si>
    <t xml:space="preserve">OpenAlex W4396218134; Crossref DOI record checked</t>
  </si>
  <si>
    <t xml:space="preserve">W4396218134</t>
  </si>
  <si>
    <t xml:space="preserve">S047</t>
  </si>
  <si>
    <t xml:space="preserve">sakib2025understanding</t>
  </si>
  <si>
    <t xml:space="preserve">Sakib, Mostofa Najmus; Ahmed, Md Shoaib; Spezzano, Francesca; Hamby, Anne</t>
  </si>
  <si>
    <t xml:space="preserve">Understanding News Consumers' Perceptions of Believability: A Study of Real and Fake News</t>
  </si>
  <si>
    <t xml:space="preserve">10.1145/3757691</t>
  </si>
  <si>
    <t xml:space="preserve">OpenAlex W4415258878; Crossref DOI record checked</t>
  </si>
  <si>
    <t xml:space="preserve">W4415258878</t>
  </si>
  <si>
    <t xml:space="preserve">S048</t>
  </si>
  <si>
    <t xml:space="preserve">amieur2025comparative</t>
  </si>
  <si>
    <t xml:space="preserve">Amieur, Nardjes; Chouaki, Salim; Goga, Oana; Roussillon, Beatrice</t>
  </si>
  <si>
    <t xml:space="preserve">A comparative study of news exposure and consumption on and off Facebook</t>
  </si>
  <si>
    <t xml:space="preserve">10.1145/3757540</t>
  </si>
  <si>
    <t xml:space="preserve">OpenAlex W4415250186; Crossref DOI record checked</t>
  </si>
  <si>
    <t xml:space="preserve">W4415250186</t>
  </si>
  <si>
    <t xml:space="preserve">S049</t>
  </si>
  <si>
    <t xml:space="preserve">budak2024misunderstanding</t>
  </si>
  <si>
    <t xml:space="preserve">Budak, Ceren; Nyhan, Brendan; Rothschild, David M; Thorson, Emily; Watts, Duncan J</t>
  </si>
  <si>
    <t xml:space="preserve">Misunderstanding the harms of online misinformation</t>
  </si>
  <si>
    <t xml:space="preserve">Nature</t>
  </si>
  <si>
    <t xml:space="preserve">10.1038/s41586-024-07417-w</t>
  </si>
  <si>
    <t xml:space="preserve">OpenAlex W4399366359 (matched by title); DOI corrected in .bib</t>
  </si>
  <si>
    <t xml:space="preserve">W4399366359</t>
  </si>
  <si>
    <t xml:space="preserve">S050</t>
  </si>
  <si>
    <t xml:space="preserve">khan2024targets</t>
  </si>
  <si>
    <t xml:space="preserve">Khan, Sadia O; Ghafourian, Tania; Patil, Sameer</t>
  </si>
  <si>
    <t xml:space="preserve">Targets of weaponized islamophobia: The impact of misinformation on the online practices of Muslims in the United States</t>
  </si>
  <si>
    <t xml:space="preserve">10.1145/3637403</t>
  </si>
  <si>
    <t xml:space="preserve">OpenAlex W4396218543; Crossref DOI record checked</t>
  </si>
  <si>
    <t xml:space="preserve">W4396218543</t>
  </si>
  <si>
    <t xml:space="preserve">S051</t>
  </si>
  <si>
    <t xml:space="preserve">govers2025feeds</t>
  </si>
  <si>
    <t xml:space="preserve">Govers, Jarod; Pareek, Saumya; Velloso, Eduardo; Goncalves, Jorge</t>
  </si>
  <si>
    <t xml:space="preserve">Feeds of distrust: Investigating how AI-powered news chatbots shape user trust and perceptions</t>
  </si>
  <si>
    <t xml:space="preserve">10.1145/3722227</t>
  </si>
  <si>
    <t xml:space="preserve">OpenAlex W4408449869; Crossref DOI record checked</t>
  </si>
  <si>
    <t xml:space="preserve">W4408449869</t>
  </si>
  <si>
    <t xml:space="preserve">S052</t>
  </si>
  <si>
    <t xml:space="preserve">roozenbeek2022technique</t>
  </si>
  <si>
    <t xml:space="preserve">Roozenbeek, Jon; Traberg, Cecilie S; van der Linden, Sander</t>
  </si>
  <si>
    <t xml:space="preserve">Technique-based inoculation against real-world misinformation</t>
  </si>
  <si>
    <t xml:space="preserve">Royal Society open science</t>
  </si>
  <si>
    <t xml:space="preserve">10.1098/rsos.211719</t>
  </si>
  <si>
    <t xml:space="preserve">Class 6 - Intervention and Inoculation Strategies</t>
  </si>
  <si>
    <t xml:space="preserve">Opinion Detection and Modeling (C6)</t>
  </si>
  <si>
    <t xml:space="preserve">C6</t>
  </si>
  <si>
    <t xml:space="preserve">Table C6</t>
  </si>
  <si>
    <t xml:space="preserve">OpenAlex W4280610708; Crossref DOI record checked</t>
  </si>
  <si>
    <t xml:space="preserve">W4280610708</t>
  </si>
  <si>
    <t xml:space="preserve">S053</t>
  </si>
  <si>
    <t xml:space="preserve">wang2025limited</t>
  </si>
  <si>
    <t xml:space="preserve">Wang, Sze Yuh Nina; Phillips, Samantha C; Carley, Kathleen M; Lin, Hause; Pennycook, Gordon</t>
  </si>
  <si>
    <t xml:space="preserve">Limited effectiveness of psychological inoculation against misinformation in a social media feed</t>
  </si>
  <si>
    <t xml:space="preserve">PNAS nexus</t>
  </si>
  <si>
    <t xml:space="preserve">10.1093/pnasnexus/pgaf172</t>
  </si>
  <si>
    <t xml:space="preserve">OpenAlex W4410833287; Crossref DOI record checked</t>
  </si>
  <si>
    <t xml:space="preserve">W4410833287</t>
  </si>
  <si>
    <t xml:space="preserve">S054</t>
  </si>
  <si>
    <t xml:space="preserve">tang2025breaking</t>
  </si>
  <si>
    <t xml:space="preserve">Tang, Huiyun; Sun, Songqi; Nie, Kexin; Li, Ang; Sergeeva, Anastasia; Lc, Ray</t>
  </si>
  <si>
    <t xml:space="preserve">Breaking the News: Taking the Roles of Influencer vs. Journalist in a LLM-Based Game for Raising Misinformation Awareness</t>
  </si>
  <si>
    <t xml:space="preserve">10.1145/3748600</t>
  </si>
  <si>
    <t xml:space="preserve">OpenAlex W4414836461; Crossref DOI record checked</t>
  </si>
  <si>
    <t xml:space="preserve">W4414836461</t>
  </si>
  <si>
    <t xml:space="preserve">S055</t>
  </si>
  <si>
    <t xml:space="preserve">chuai2024did</t>
  </si>
  <si>
    <t xml:space="preserve">Chuai, Yuwei; Tian, Haoye; Pröllochs, Nicolas; Lenzini, Gabriele</t>
  </si>
  <si>
    <t xml:space="preserve">Did the roll-out of Community Notes reduce engagement with misinformation on X/Twitter?</t>
  </si>
  <si>
    <t xml:space="preserve">10.1145/3686967</t>
  </si>
  <si>
    <t xml:space="preserve">Causal Identification</t>
  </si>
  <si>
    <t xml:space="preserve">3.4 Opinion Detection and Modeling; 4.2.1 Causal Identification in Cross-Domain Research; Appendix A.1</t>
  </si>
  <si>
    <t xml:space="preserve">OpenAlex W4404171602; Crossref DOI record checked</t>
  </si>
  <si>
    <t xml:space="preserve">W4404171602</t>
  </si>
  <si>
    <t xml:space="preserve">S056</t>
  </si>
  <si>
    <t xml:space="preserve">jeon2024hearhere</t>
  </si>
  <si>
    <t xml:space="preserve">Jeon, Youngseung; Kim, Jaehoon; Park, Sohyun; Ko, Yunyong; Ryu, Seongeun; Kim, Sang-Wook; Han, Kyungsik</t>
  </si>
  <si>
    <t xml:space="preserve">HearHere: Mitigating echo chambers in news consumption through an AI-based web system</t>
  </si>
  <si>
    <t xml:space="preserve">10.1145/3637340</t>
  </si>
  <si>
    <t xml:space="preserve">OpenAlex W4396230918; Crossref DOI record checked</t>
  </si>
  <si>
    <t xml:space="preserve">W4396230918</t>
  </si>
  <si>
    <t xml:space="preserve">S057</t>
  </si>
  <si>
    <t xml:space="preserve">yu2025breaking</t>
  </si>
  <si>
    <t xml:space="preserve">Yu, Dianer; Li, Qian; Huo, Huan; Xu, Guandong</t>
  </si>
  <si>
    <t xml:space="preserve">Breaking the Loop: Causal Learning to Mitigate Echo Chambers in Social Networks</t>
  </si>
  <si>
    <t xml:space="preserve">ACM Transactions on Information Systems</t>
  </si>
  <si>
    <t xml:space="preserve">10.1145/3757738</t>
  </si>
  <si>
    <t xml:space="preserve">OpenAlex W4412827327; Crossref DOI record checked</t>
  </si>
  <si>
    <t xml:space="preserve">W4412827327</t>
  </si>
  <si>
    <t xml:space="preserve">S058</t>
  </si>
  <si>
    <t xml:space="preserve">su2025emotionally</t>
  </si>
  <si>
    <t xml:space="preserve">Su, Xiaotian; Zierau, Naim; Kim, Soomin; Wang, April Yi; Wambsganss, Thiemo</t>
  </si>
  <si>
    <t xml:space="preserve">Emotionally Aware Moderation: The Potential of Emotion Monitoring in Shaping Healthier Social Media Conversations</t>
  </si>
  <si>
    <t xml:space="preserve">10.1145/3757472</t>
  </si>
  <si>
    <t xml:space="preserve">OpenAlex W4415256889; Crossref DOI record checked</t>
  </si>
  <si>
    <t xml:space="preserve">W4415256889</t>
  </si>
  <si>
    <t xml:space="preserve">S059</t>
  </si>
  <si>
    <t xml:space="preserve">shahid2025one</t>
  </si>
  <si>
    <t xml:space="preserve">Shahid, Farhana; Agarwal, Dhruv; Vashistha, Aditya</t>
  </si>
  <si>
    <t xml:space="preserve">One style does not regulate all: Moderation practices in public and private WhatsApp groups</t>
  </si>
  <si>
    <t xml:space="preserve">10.1145/3711042</t>
  </si>
  <si>
    <t xml:space="preserve">OpenAlex W4410049549; Crossref DOI record checked</t>
  </si>
  <si>
    <t xml:space="preserve">W4410049549</t>
  </si>
  <si>
    <t xml:space="preserve">S060</t>
  </si>
  <si>
    <t xml:space="preserve">mackinlay1997event</t>
  </si>
  <si>
    <t xml:space="preserve">MacKinlay, A Craig</t>
  </si>
  <si>
    <t xml:space="preserve">Event studies in economics and finance</t>
  </si>
  <si>
    <t xml:space="preserve">Journal of economic literature</t>
  </si>
  <si>
    <t xml:space="preserve">10.1257/jel.35.1.13</t>
  </si>
  <si>
    <t xml:space="preserve">Financial market events</t>
  </si>
  <si>
    <t xml:space="preserve">F1 - Classical event-study econometrics</t>
  </si>
  <si>
    <t xml:space="preserve">3.6</t>
  </si>
  <si>
    <t xml:space="preserve">Methodological Approaches in Financial Event Research (F1)</t>
  </si>
  <si>
    <t xml:space="preserve">F1</t>
  </si>
  <si>
    <t xml:space="preserve">Table F1</t>
  </si>
  <si>
    <t xml:space="preserve">3.6 Methodological Approaches in Financial Event Research; 4.1.3 Event-Level Descriptors; 4.2.1 Causal Identification in Cross-Domain Research; Appendix A.1</t>
  </si>
  <si>
    <t xml:space="preserve">OpenAlex W2130162792; DOI not registered in Crossref</t>
  </si>
  <si>
    <t xml:space="preserve">DOI 10.1257/jel.35.1.13 is not registered in Crossref; verify or replace with the JSTOR stable URL.</t>
  </si>
  <si>
    <t xml:space="preserve">W2130162792</t>
  </si>
  <si>
    <t xml:space="preserve">S061</t>
  </si>
  <si>
    <t xml:space="preserve">el2023event</t>
  </si>
  <si>
    <t xml:space="preserve">El Ghoul, Sadok; Guedhami, Omrane; Mansi, Sattar A; Sy, Oumar</t>
  </si>
  <si>
    <t xml:space="preserve">Event studies in international finance research</t>
  </si>
  <si>
    <t xml:space="preserve">Journal of international business studies</t>
  </si>
  <si>
    <t xml:space="preserve">10.1057/s41267-022-00534-6</t>
  </si>
  <si>
    <t xml:space="preserve">3.6 Methodological Approaches in Financial Event Research; Appendix A.1</t>
  </si>
  <si>
    <t xml:space="preserve">OpenAlex W4284883529; Crossref DOI record checked</t>
  </si>
  <si>
    <t xml:space="preserve">W4284883529</t>
  </si>
  <si>
    <t xml:space="preserve">S062</t>
  </si>
  <si>
    <t xml:space="preserve">corrado1989nonparametric</t>
  </si>
  <si>
    <t xml:space="preserve">Corrado, Charles J</t>
  </si>
  <si>
    <t xml:space="preserve">A nonparametric test for abnormal security-price performance in event studies</t>
  </si>
  <si>
    <t xml:space="preserve">Journal of financial economics</t>
  </si>
  <si>
    <t xml:space="preserve">10.1016/0304-405X(89)90064-0</t>
  </si>
  <si>
    <t xml:space="preserve">OpenAlex W2028513078; Crossref DOI record checked</t>
  </si>
  <si>
    <t xml:space="preserve">W2028513078</t>
  </si>
  <si>
    <t xml:space="preserve">S063</t>
  </si>
  <si>
    <t xml:space="preserve">boehmer1991event</t>
  </si>
  <si>
    <t xml:space="preserve">Boehmer, Ekkehart; Masumeci, Jim; Poulsen, Annette B</t>
  </si>
  <si>
    <t xml:space="preserve">Event-study methodology under conditions of event-induced variance</t>
  </si>
  <si>
    <t xml:space="preserve">10.1016/0304-405X(91)90032-F</t>
  </si>
  <si>
    <t xml:space="preserve">OpenAlex W2033910434; Crossref DOI record checked</t>
  </si>
  <si>
    <t xml:space="preserve">W2033910434</t>
  </si>
  <si>
    <t xml:space="preserve">S064</t>
  </si>
  <si>
    <t xml:space="preserve">pynnonen2022non</t>
  </si>
  <si>
    <t xml:space="preserve">Pynnonen, Seppo</t>
  </si>
  <si>
    <t xml:space="preserve">Non-parametric statistic for testing cumulative abnormal stock returns</t>
  </si>
  <si>
    <t xml:space="preserve">Journal of Risk and Financial Management</t>
  </si>
  <si>
    <t xml:space="preserve">10.3390/jrfm15040149</t>
  </si>
  <si>
    <t xml:space="preserve">OpenAlex W4220719043; Crossref DOI record checked</t>
  </si>
  <si>
    <t xml:space="preserve">W4220719043</t>
  </si>
  <si>
    <t xml:space="preserve">S065</t>
  </si>
  <si>
    <t xml:space="preserve">nguyen2026permutation</t>
  </si>
  <si>
    <t xml:space="preserve">Nguyen, Phuong Anh; Wolf, Michael</t>
  </si>
  <si>
    <t xml:space="preserve">The permutation test for event studies with a small number of events</t>
  </si>
  <si>
    <t xml:space="preserve">Empirical Economics</t>
  </si>
  <si>
    <t xml:space="preserve">10.1007/s00181-026-02905-6</t>
  </si>
  <si>
    <t xml:space="preserve">OpenAlex W7140172419; Crossref DOI record checked</t>
  </si>
  <si>
    <t xml:space="preserve">W7140172419</t>
  </si>
  <si>
    <t xml:space="preserve">S066</t>
  </si>
  <si>
    <t xml:space="preserve">kothari2007econometrics</t>
  </si>
  <si>
    <t xml:space="preserve">Kothari, Sagar P; Warner, Jerold B</t>
  </si>
  <si>
    <t xml:space="preserve">Econometrics of event studies</t>
  </si>
  <si>
    <t xml:space="preserve">Handbook of empirical corporate finance</t>
  </si>
  <si>
    <t xml:space="preserve">Book chapter</t>
  </si>
  <si>
    <t xml:space="preserve">10.1016/B978-0-444-53265-7.50015-9</t>
  </si>
  <si>
    <t xml:space="preserve">OpenAlex W148329840; Crossref DOI record checked</t>
  </si>
  <si>
    <t xml:space="preserve">W148329840</t>
  </si>
  <si>
    <t xml:space="preserve">S067</t>
  </si>
  <si>
    <t xml:space="preserve">goldsmith2025causal</t>
  </si>
  <si>
    <t xml:space="preserve">Goldsmith-Pinkham, Paul; Lyu, Tianshu</t>
  </si>
  <si>
    <t xml:space="preserve">Causal inference in financial event studies</t>
  </si>
  <si>
    <t xml:space="preserve">arXiv preprint arXiv:2511.15123</t>
  </si>
  <si>
    <t xml:space="preserve">10.48550/arXiv.2511.15123</t>
  </si>
  <si>
    <t xml:space="preserve">3.6 Methodological Approaches in Financial Event Research; 4.2.1 Causal Identification in Cross-Domain Research; Appendix A.1</t>
  </si>
  <si>
    <t xml:space="preserve">OpenAlex W7106255595; arXiv DOI (registered with DataCite, not Crossref)</t>
  </si>
  <si>
    <t xml:space="preserve">W7106255595</t>
  </si>
  <si>
    <t xml:space="preserve">S068</t>
  </si>
  <si>
    <t xml:space="preserve">engle1982autoregressive</t>
  </si>
  <si>
    <t xml:space="preserve">Engle, Robert F</t>
  </si>
  <si>
    <t xml:space="preserve">Autoregressive conditional heteroscedasticity with estimates of the variance of United Kingdom inflation</t>
  </si>
  <si>
    <t xml:space="preserve">Econometrica: Journal of the Econometric Society</t>
  </si>
  <si>
    <t xml:space="preserve">10.2307/1912773</t>
  </si>
  <si>
    <t xml:space="preserve">F2 - Volatility, risk, and structural change</t>
  </si>
  <si>
    <t xml:space="preserve">Methodological Approaches in Financial Event Research (F2)</t>
  </si>
  <si>
    <t xml:space="preserve">F2</t>
  </si>
  <si>
    <t xml:space="preserve">Table F2</t>
  </si>
  <si>
    <t xml:space="preserve">OpenAlex W1979575715; Crossref DOI record checked</t>
  </si>
  <si>
    <t xml:space="preserve">W1979575715</t>
  </si>
  <si>
    <t xml:space="preserve">S069</t>
  </si>
  <si>
    <t xml:space="preserve">bollerslev1986generalized</t>
  </si>
  <si>
    <t xml:space="preserve">Bollerslev, Tim</t>
  </si>
  <si>
    <t xml:space="preserve">Generalized autoregressive conditional heteroskedasticity</t>
  </si>
  <si>
    <t xml:space="preserve">Journal of econometrics</t>
  </si>
  <si>
    <t xml:space="preserve">10.1016/0304-4076(86)90063-1</t>
  </si>
  <si>
    <t xml:space="preserve">OpenAlex W1999996900; Crossref DOI record checked</t>
  </si>
  <si>
    <t xml:space="preserve">W1999996900</t>
  </si>
  <si>
    <t xml:space="preserve">S070</t>
  </si>
  <si>
    <t xml:space="preserve">zhu2025volatility</t>
  </si>
  <si>
    <t xml:space="preserve">Zhu, Min; Song, Yuping; Zheng, Xin</t>
  </si>
  <si>
    <t xml:space="preserve">Volatility dynamics and mixed Jump-GARCH model based jump detection in financial markets</t>
  </si>
  <si>
    <t xml:space="preserve">Computational Economics</t>
  </si>
  <si>
    <t xml:space="preserve">10.1007/s10614-024-10633-1</t>
  </si>
  <si>
    <t xml:space="preserve">OpenAlex W4399703612; Crossref DOI record checked</t>
  </si>
  <si>
    <t xml:space="preserve">W4399703612</t>
  </si>
  <si>
    <t xml:space="preserve">S071</t>
  </si>
  <si>
    <t xml:space="preserve">bai2003computation</t>
  </si>
  <si>
    <t xml:space="preserve">Bai, Jushan; Perron, Pierre</t>
  </si>
  <si>
    <t xml:space="preserve">Computation and analysis of multiple structural change models</t>
  </si>
  <si>
    <t xml:space="preserve">Journal of applied econometrics</t>
  </si>
  <si>
    <t xml:space="preserve">10.1002/jae.659</t>
  </si>
  <si>
    <t xml:space="preserve">3.6 Methodological Approaches in Financial Event Research; 4.1.3 Event-Level Descriptors; Appendix A.1</t>
  </si>
  <si>
    <t xml:space="preserve">OpenAlex W1547068196; Crossref DOI record checked</t>
  </si>
  <si>
    <t xml:space="preserve">W1547068196</t>
  </si>
  <si>
    <t xml:space="preserve">S072</t>
  </si>
  <si>
    <t xml:space="preserve">hasanov2024structural</t>
  </si>
  <si>
    <t xml:space="preserve">Hasanov, Akram Shavkatovich; Brooks, Robert; Abrorov, Sirojiddin; Burkhanov, Aktam Usmanovich</t>
  </si>
  <si>
    <t xml:space="preserve">Structural breaks and GARCH models of exchange rate volatility: Re-examination and extension</t>
  </si>
  <si>
    <t xml:space="preserve">Journal of Applied Econometrics</t>
  </si>
  <si>
    <t xml:space="preserve">10.1002/jae.3091</t>
  </si>
  <si>
    <t xml:space="preserve">OpenAlex W4401402098; Crossref DOI record checked</t>
  </si>
  <si>
    <t xml:space="preserve">W4401402098</t>
  </si>
  <si>
    <t xml:space="preserve">S073</t>
  </si>
  <si>
    <t xml:space="preserve">sun2026inference</t>
  </si>
  <si>
    <t xml:space="preserve">Sun, Yan; Du, Xiaobin; Zhang, Ying</t>
  </si>
  <si>
    <t xml:space="preserve">Inference for a multiplicative volatility model allowing for structural breaks</t>
  </si>
  <si>
    <t xml:space="preserve">Communications in Statistics-Simulation and Computation</t>
  </si>
  <si>
    <t xml:space="preserve">10.1080/03610918.2025.2474595</t>
  </si>
  <si>
    <t xml:space="preserve">OpenAlex W4408449336; Crossref DOI record checked</t>
  </si>
  <si>
    <t xml:space="preserve">W4408449336</t>
  </si>
  <si>
    <t xml:space="preserve">S074</t>
  </si>
  <si>
    <t xml:space="preserve">mugrabi2026financial</t>
  </si>
  <si>
    <t xml:space="preserve">Mugrabi, Farah</t>
  </si>
  <si>
    <t xml:space="preserve">Financial contagion: Detecting non-simultaneous breaks in DCC-GARCH models</t>
  </si>
  <si>
    <t xml:space="preserve">International Journal of Finance &amp; Economics</t>
  </si>
  <si>
    <t xml:space="preserve">10.1002/ijfe.70064</t>
  </si>
  <si>
    <t xml:space="preserve">OpenAlex W4414769417; Crossref DOI record checked</t>
  </si>
  <si>
    <t xml:space="preserve">W4414769417</t>
  </si>
  <si>
    <t xml:space="preserve">S075</t>
  </si>
  <si>
    <t xml:space="preserve">anderson2003micro</t>
  </si>
  <si>
    <t xml:space="preserve">Anderson, Torben G; Bollerslev, Tim; Diebold, Francis X; Vega, Clara</t>
  </si>
  <si>
    <t xml:space="preserve">Micro effects of macro announcements: Real-time price discovery in foreign exchange</t>
  </si>
  <si>
    <t xml:space="preserve">American economic review</t>
  </si>
  <si>
    <t xml:space="preserve">10.1257/000282803321455151</t>
  </si>
  <si>
    <t xml:space="preserve">F3 - High-frequency and intraday market response</t>
  </si>
  <si>
    <t xml:space="preserve">Methodological Approaches in Financial Event Research (F3)</t>
  </si>
  <si>
    <t xml:space="preserve">F3</t>
  </si>
  <si>
    <t xml:space="preserve">Table F3</t>
  </si>
  <si>
    <t xml:space="preserve">OpenAlex W3123647737 (matched by title); DOI corrected in .bib</t>
  </si>
  <si>
    <t xml:space="preserve">Corrected in surveybib_corrected.bib (2026-10-19): doi: DOI resolved to another article (Gravity with Gravitas ...)</t>
  </si>
  <si>
    <t xml:space="preserve">W3123647737</t>
  </si>
  <si>
    <t xml:space="preserve">S076</t>
  </si>
  <si>
    <t xml:space="preserve">hasbrouck1991measuring</t>
  </si>
  <si>
    <t xml:space="preserve">Hasbrouck, Joel</t>
  </si>
  <si>
    <t xml:space="preserve">Measuring the information content of stock trades</t>
  </si>
  <si>
    <t xml:space="preserve">The Journal of Finance</t>
  </si>
  <si>
    <t xml:space="preserve">10.1111/j.1540-6261.1991.tb03749.x</t>
  </si>
  <si>
    <t xml:space="preserve">OpenAlex W2108032253; Crossref DOI record checked</t>
  </si>
  <si>
    <t xml:space="preserve">W2108032253</t>
  </si>
  <si>
    <t xml:space="preserve">S077</t>
  </si>
  <si>
    <t xml:space="preserve">bacry2015hawkes</t>
  </si>
  <si>
    <t xml:space="preserve">Bacry, Emmanuel; Mastromatteo, Iacopo; Muzy, Jean-François</t>
  </si>
  <si>
    <t xml:space="preserve">Hawkes processes in finance</t>
  </si>
  <si>
    <t xml:space="preserve">Market Microstructure and Liquidity</t>
  </si>
  <si>
    <t xml:space="preserve">OpenAlex W1594866779 (matched by title); no DOI in .bib</t>
  </si>
  <si>
    <t xml:space="preserve">W1594866779</t>
  </si>
  <si>
    <t xml:space="preserve">S078</t>
  </si>
  <si>
    <t xml:space="preserve">nystrom2022hawkes</t>
  </si>
  <si>
    <t xml:space="preserve">Nyström, Kaj; Zhang, Changyong</t>
  </si>
  <si>
    <t xml:space="preserve">Hawkes-based models for high frequency financial data</t>
  </si>
  <si>
    <t xml:space="preserve">Journal of the Operational Research Society</t>
  </si>
  <si>
    <t xml:space="preserve">10.1080/01605682.2021.1952116</t>
  </si>
  <si>
    <t xml:space="preserve">OpenAlex W3186863058; Crossref DOI record checked</t>
  </si>
  <si>
    <t xml:space="preserve">W3186863058</t>
  </si>
  <si>
    <t xml:space="preserve">S079</t>
  </si>
  <si>
    <t xml:space="preserve">mucciante2024estimation</t>
  </si>
  <si>
    <t xml:space="preserve">Mucciante, Luca; Sancetta, Alessio</t>
  </si>
  <si>
    <t xml:space="preserve">Estimation of an order book dependent Hawkes process for large datasets</t>
  </si>
  <si>
    <t xml:space="preserve">Journal of Financial Econometrics</t>
  </si>
  <si>
    <t xml:space="preserve">10.1093/jjfinec/nbad021</t>
  </si>
  <si>
    <t xml:space="preserve">OpenAlex W4385782110; Crossref DOI record checked</t>
  </si>
  <si>
    <t xml:space="preserve">W4385782110</t>
  </si>
  <si>
    <t xml:space="preserve">S080</t>
  </si>
  <si>
    <t xml:space="preserve">jusselin2020no</t>
  </si>
  <si>
    <t xml:space="preserve">Jusselin, Paul; Rosenbaum, Mathieu</t>
  </si>
  <si>
    <t xml:space="preserve">No-arbitrage implies power-law market impact and rough volatility</t>
  </si>
  <si>
    <t xml:space="preserve">Mathematical Finance</t>
  </si>
  <si>
    <t xml:space="preserve">10.1111/mafi.12254</t>
  </si>
  <si>
    <t xml:space="preserve">OpenAlex W2803897013; Crossref DOI record checked</t>
  </si>
  <si>
    <t xml:space="preserve">W2803897013</t>
  </si>
  <si>
    <t xml:space="preserve">S081</t>
  </si>
  <si>
    <t xml:space="preserve">gross2011machines</t>
  </si>
  <si>
    <t xml:space="preserve">Groß-Klußmann, Axel; Hautsch, Nikolaus</t>
  </si>
  <si>
    <t xml:space="preserve">When machines read the news: Using automated text analytics to quantify high frequency news-implied market reactions</t>
  </si>
  <si>
    <t xml:space="preserve">Journal of Empirical Finance</t>
  </si>
  <si>
    <t xml:space="preserve">10.1016/j.jempfin.2010.11.009</t>
  </si>
  <si>
    <t xml:space="preserve">3.6 Methodological Approaches in Financial Event Research; 4.2 Cross-Domain Research; Appendix A.1</t>
  </si>
  <si>
    <t xml:space="preserve">OpenAlex W2090588899; Crossref DOI record checked</t>
  </si>
  <si>
    <t xml:space="preserve">W2090588899</t>
  </si>
  <si>
    <t xml:space="preserve">S082</t>
  </si>
  <si>
    <t xml:space="preserve">yang2025price</t>
  </si>
  <si>
    <t xml:space="preserve">Yang, Ni; Fernandez-Perez, Adrian; Indriawan, Ivan</t>
  </si>
  <si>
    <t xml:space="preserve">The price impact of tweets: A high-frequency study</t>
  </si>
  <si>
    <t xml:space="preserve">Financial Review</t>
  </si>
  <si>
    <t xml:space="preserve">10.1111/fire.12406</t>
  </si>
  <si>
    <t xml:space="preserve">OpenAlex W4400112346; Crossref DOI record checked</t>
  </si>
  <si>
    <t xml:space="preserve">W4400112346</t>
  </si>
  <si>
    <t xml:space="preserve">S083</t>
  </si>
  <si>
    <t xml:space="preserve">behrendt2018twitter</t>
  </si>
  <si>
    <t xml:space="preserve">Behrendt, Simon; Schmidt, Alexander</t>
  </si>
  <si>
    <t xml:space="preserve">The Twitter myth revisited: Intraday investor sentiment, Twitter activity and individual-level stock return volatility</t>
  </si>
  <si>
    <t xml:space="preserve">Journal of Banking &amp; Finance</t>
  </si>
  <si>
    <t xml:space="preserve">10.1016/j.jbankfin.2018.09.016</t>
  </si>
  <si>
    <t xml:space="preserve">OpenAlex W2892468315; Crossref DOI record checked</t>
  </si>
  <si>
    <t xml:space="preserve">W2892468315</t>
  </si>
  <si>
    <t xml:space="preserve">S084</t>
  </si>
  <si>
    <t xml:space="preserve">tetlock2007giving</t>
  </si>
  <si>
    <t xml:space="preserve">Tetlock, Paul C</t>
  </si>
  <si>
    <t xml:space="preserve">Giving content to investor sentiment: The role of media in the stock market</t>
  </si>
  <si>
    <t xml:space="preserve">The Journal of finance</t>
  </si>
  <si>
    <t xml:space="preserve">10.1111/j.1540-6261.2007.01232.x</t>
  </si>
  <si>
    <t xml:space="preserve">F4 - Textual and attention-augmented asset pricing</t>
  </si>
  <si>
    <t xml:space="preserve">Methodological Approaches in Financial Event Research (F4)</t>
  </si>
  <si>
    <t xml:space="preserve">F4</t>
  </si>
  <si>
    <t xml:space="preserve">Table F4</t>
  </si>
  <si>
    <t xml:space="preserve">OpenAlex W3122944446; Crossref DOI record checked</t>
  </si>
  <si>
    <t xml:space="preserve">W3122944446</t>
  </si>
  <si>
    <t xml:space="preserve">S085</t>
  </si>
  <si>
    <t xml:space="preserve">loughran2011liability</t>
  </si>
  <si>
    <t xml:space="preserve">Loughran, Tim; McDonald, Bill</t>
  </si>
  <si>
    <t xml:space="preserve">When is a liability not a liability? Textual analysis, dictionaries, and 10-Ks</t>
  </si>
  <si>
    <t xml:space="preserve">10.1111/j.1540-6261.2010.01625.x</t>
  </si>
  <si>
    <t xml:space="preserve">OpenAlex W2152136804; Crossref DOI record checked</t>
  </si>
  <si>
    <t xml:space="preserve">W2152136804</t>
  </si>
  <si>
    <t xml:space="preserve">S086</t>
  </si>
  <si>
    <t xml:space="preserve">da2011search</t>
  </si>
  <si>
    <t xml:space="preserve">Da, Zhi; Engelberg, Joseph; Gao, Pengjie</t>
  </si>
  <si>
    <t xml:space="preserve">In search of attention</t>
  </si>
  <si>
    <t xml:space="preserve">The journal of finance</t>
  </si>
  <si>
    <t xml:space="preserve">10.1111/j.1540-6261.2011.01679.x</t>
  </si>
  <si>
    <t xml:space="preserve">OpenAlex W3122136669; Crossref DOI record checked</t>
  </si>
  <si>
    <t xml:space="preserve">W3122136669</t>
  </si>
  <si>
    <t xml:space="preserve">S087</t>
  </si>
  <si>
    <t xml:space="preserve">chen2014wisdom</t>
  </si>
  <si>
    <t xml:space="preserve">Chen, Hailiang; De, Prabuddha; Hu, Yu; Hwang, Byoung-Hyoun</t>
  </si>
  <si>
    <t xml:space="preserve">Wisdom of crowds: The value of stock opinions transmitted through social media</t>
  </si>
  <si>
    <t xml:space="preserve">The review of financial studies</t>
  </si>
  <si>
    <t xml:space="preserve">10.1093/rfs/hhu001</t>
  </si>
  <si>
    <t xml:space="preserve">OpenAlex W3124798136; Crossref DOI record checked</t>
  </si>
  <si>
    <t xml:space="preserve">W3124798136</t>
  </si>
  <si>
    <t xml:space="preserve">S088</t>
  </si>
  <si>
    <t xml:space="preserve">liu2023social</t>
  </si>
  <si>
    <t xml:space="preserve">Liu, Wenwen; Yang, Jinyu; Chen, Jingrui; Xu, Lei</t>
  </si>
  <si>
    <t xml:space="preserve">How social-network attention and sentiment of investors affect commodity futures market returns: New evidence from China</t>
  </si>
  <si>
    <t xml:space="preserve">Sage Open</t>
  </si>
  <si>
    <t xml:space="preserve">10.1177/21582440231152131</t>
  </si>
  <si>
    <t xml:space="preserve">OpenAlex W4318320749; Crossref DOI record checked</t>
  </si>
  <si>
    <t xml:space="preserve">W4318320749</t>
  </si>
  <si>
    <t xml:space="preserve">S089</t>
  </si>
  <si>
    <t xml:space="preserve">kim2025news</t>
  </si>
  <si>
    <t xml:space="preserve">Kim-Hahm, Hyunsun; Abou-Zaid, Ahmed S.; Mohd, Abidalrahman</t>
  </si>
  <si>
    <t xml:space="preserve">News vs. Social Media: Sentiment Impact on Stock Performance of Big Tech Companies</t>
  </si>
  <si>
    <t xml:space="preserve">10.3390/jrfm18120660</t>
  </si>
  <si>
    <t xml:space="preserve">OpenAlex W4416592915; Crossref DOI record checked</t>
  </si>
  <si>
    <t xml:space="preserve">Corrected in surveybib_corrected.bib (2026-10-19): title/author: Title was copied from liu2023social and authors were missing</t>
  </si>
  <si>
    <t xml:space="preserve">W4416592915</t>
  </si>
  <si>
    <t xml:space="preserve">S090</t>
  </si>
  <si>
    <t xml:space="preserve">kraaijeveld2020predictive</t>
  </si>
  <si>
    <t xml:space="preserve">Kraaijeveld, Olivier; De Smedt, Johannes</t>
  </si>
  <si>
    <t xml:space="preserve">The predictive power of public Twitter sentiment for forecasting cryptocurrency prices</t>
  </si>
  <si>
    <t xml:space="preserve">Journal of International Financial Markets, Institutions and Money</t>
  </si>
  <si>
    <t xml:space="preserve">10.1016/j.intfin.2020.101188</t>
  </si>
  <si>
    <t xml:space="preserve">OpenAlex W3011605097; Crossref DOI record checked</t>
  </si>
  <si>
    <t xml:space="preserve">W3011605097</t>
  </si>
  <si>
    <t xml:space="preserve">S091</t>
  </si>
  <si>
    <t xml:space="preserve">arnold2022attention</t>
  </si>
  <si>
    <t xml:space="preserve">Arnold, Marc; Pelster, Matthias; Subrahmanyam, Marti G</t>
  </si>
  <si>
    <t xml:space="preserve">Attention triggers and investors’ risk-taking</t>
  </si>
  <si>
    <t xml:space="preserve">Journal of Financial Economics</t>
  </si>
  <si>
    <t xml:space="preserve">10.1016/j.jfineco.2021.05.031</t>
  </si>
  <si>
    <t xml:space="preserve">OpenAlex W3118192601; Crossref DOI record checked</t>
  </si>
  <si>
    <t xml:space="preserve">W3118192601</t>
  </si>
  <si>
    <t xml:space="preserve">S092</t>
  </si>
  <si>
    <t xml:space="preserve">xu2019anatomy</t>
  </si>
  <si>
    <t xml:space="preserve">Xu, Jiahua; Livshits, Benjamin</t>
  </si>
  <si>
    <t xml:space="preserve">The anatomy of a cryptocurrency Pump-and-Dump scheme</t>
  </si>
  <si>
    <t xml:space="preserve">28th USENIX Security Symposium (USENIX Security 19)</t>
  </si>
  <si>
    <t xml:space="preserve">F5 - Market manipulation and abusive trading detection</t>
  </si>
  <si>
    <t xml:space="preserve">Cross-Domain Challenges</t>
  </si>
  <si>
    <t xml:space="preserve">Methodological Approaches in Financial Event Research (F5)</t>
  </si>
  <si>
    <t xml:space="preserve">F5</t>
  </si>
  <si>
    <t xml:space="preserve">Table F5</t>
  </si>
  <si>
    <t xml:space="preserve">3.6 Methodological Approaches in Financial Event Research; 4.1.3 Event-Level Descriptors; 4.2 Cross-Domain Research; Appendix A.1</t>
  </si>
  <si>
    <t xml:space="preserve">OpenAlex W2900601813 (matched by title); no DOI in .bib</t>
  </si>
  <si>
    <t xml:space="preserve">W2900601813</t>
  </si>
  <si>
    <t xml:space="preserve">S093</t>
  </si>
  <si>
    <t xml:space="preserve">kogan2023social</t>
  </si>
  <si>
    <t xml:space="preserve">Kogan, Shimon; Moskowitz, Tobias J; Niessner, Marina</t>
  </si>
  <si>
    <t xml:space="preserve">Social media and financial news manipulation</t>
  </si>
  <si>
    <t xml:space="preserve">Review of Finance</t>
  </si>
  <si>
    <t xml:space="preserve">10.1093/rof/rfac058</t>
  </si>
  <si>
    <t xml:space="preserve">1.1 Background and Motivation; 3.6 Methodological Approaches in Financial Event Research; Appendix A.1</t>
  </si>
  <si>
    <t xml:space="preserve">OpenAlex W3200102637 (matched by title); DOI corrected in .bib</t>
  </si>
  <si>
    <t xml:space="preserve">Corrected in surveybib_corrected.bib (2026-10-19): doi: DOI resolved to another article (Income, Liquidity, and the Consumption Response ...)</t>
  </si>
  <si>
    <t xml:space="preserve">W3200102637</t>
  </si>
  <si>
    <t xml:space="preserve">S094</t>
  </si>
  <si>
    <t xml:space="preserve">leuz2026falls</t>
  </si>
  <si>
    <t xml:space="preserve">Leuz, Christian; Meyer, Steffen; Muhn, Maximilian; Soltes, Eugene; Hackethal, Andreas</t>
  </si>
  <si>
    <t xml:space="preserve">Who falls prey to the Wolf of Wall Street? Investor participation in market manipulation</t>
  </si>
  <si>
    <t xml:space="preserve">Management Science</t>
  </si>
  <si>
    <t xml:space="preserve">10.1287/mnsc.2023.03181</t>
  </si>
  <si>
    <t xml:space="preserve">OpenAlex W4416210187; Crossref DOI record checked</t>
  </si>
  <si>
    <t xml:space="preserve">W4416210187</t>
  </si>
  <si>
    <t xml:space="preserve">S095</t>
  </si>
  <si>
    <t xml:space="preserve">li2025cryptocurrency</t>
  </si>
  <si>
    <t xml:space="preserve">Li, Tao; Shin, Donghwa; Wang, Baolian</t>
  </si>
  <si>
    <t xml:space="preserve">Cryptocurrency pump-and-dump schemes</t>
  </si>
  <si>
    <t xml:space="preserve">Journal of Financial and Quantitative Analysis</t>
  </si>
  <si>
    <t xml:space="preserve">10.1017/S0022109025000201</t>
  </si>
  <si>
    <t xml:space="preserve">3.6 Methodological Approaches in Financial Event Research; 4.1.3 Event-Level Descriptors; 4.2 Cross-Domain Research; 4.2.1 Causal Identification in Cross-Domain Research; Appendix A.1</t>
  </si>
  <si>
    <t xml:space="preserve">OpenAlex W4409174306; Crossref DOI record checked</t>
  </si>
  <si>
    <t xml:space="preserve">W4409174306</t>
  </si>
  <si>
    <t xml:space="preserve">S096</t>
  </si>
  <si>
    <t xml:space="preserve">la2023doge</t>
  </si>
  <si>
    <t xml:space="preserve">La Morgia, Massimo; Mei, Alessandro; Sassi, Francesco; Stefa, Julinda</t>
  </si>
  <si>
    <t xml:space="preserve">The Doge of Wall Street: Analysis and detection of pump-and-dump cryptocurrency manipulations</t>
  </si>
  <si>
    <t xml:space="preserve">10.1145/3561300</t>
  </si>
  <si>
    <t xml:space="preserve">OpenAlex W3159176111; Crossref DOI record checked</t>
  </si>
  <si>
    <t xml:space="preserve">W3159176111</t>
  </si>
  <si>
    <t xml:space="preserve">S097</t>
  </si>
  <si>
    <t xml:space="preserve">bradley2024place</t>
  </si>
  <si>
    <t xml:space="preserve">Bradley, Daniel; Hanousek Jr, Jan; Jame, Russell; Xiao, Zicheng</t>
  </si>
  <si>
    <t xml:space="preserve">Place your bets? The value of investment research on Reddit's WallStreetBets</t>
  </si>
  <si>
    <t xml:space="preserve">The Review of Financial Studies</t>
  </si>
  <si>
    <t xml:space="preserve">10.1093/rfs/hhad098</t>
  </si>
  <si>
    <t xml:space="preserve">OpenAlex W4390043602; Crossref DOI record checked</t>
  </si>
  <si>
    <t xml:space="preserve">W4390043602</t>
  </si>
  <si>
    <t xml:space="preserve">S098</t>
  </si>
  <si>
    <t xml:space="preserve">keasey2025impact</t>
  </si>
  <si>
    <t xml:space="preserve">Keasey, Kevin; Lambrinoudakis, Costas; Mascia, Danilo V; Zhang, Zhengfa</t>
  </si>
  <si>
    <t xml:space="preserve">The impact of social media influencers on the financial market performance of firms</t>
  </si>
  <si>
    <t xml:space="preserve">European Financial Management</t>
  </si>
  <si>
    <t xml:space="preserve">10.1111/eufm.12513</t>
  </si>
  <si>
    <t xml:space="preserve">OpenAlex W4402517944; Crossref DOI record checked</t>
  </si>
  <si>
    <t xml:space="preserve">W4402517944</t>
  </si>
  <si>
    <t xml:space="preserve">S099</t>
  </si>
  <si>
    <t xml:space="preserve">roy2024unveiling</t>
  </si>
  <si>
    <t xml:space="preserve">Roy, Sayak Saha; Das, Dipanjan; Bose, Priyanka; Kruegel, Christopher; Vigna, Giovanni; Nilizadeh, Shirin</t>
  </si>
  <si>
    <t xml:space="preserve">Unveiling the risks of NFT promotion scams</t>
  </si>
  <si>
    <t xml:space="preserve">Proceedings of the International AAAI Conference on Web and Social Media</t>
  </si>
  <si>
    <t xml:space="preserve">10.1609/icwsm.v18i1.31395</t>
  </si>
  <si>
    <t xml:space="preserve">OpenAlex W4399205260; Crossref DOI record checked</t>
  </si>
  <si>
    <t xml:space="preserve">W4399205260</t>
  </si>
  <si>
    <t xml:space="preserve">S100</t>
  </si>
  <si>
    <t xml:space="preserve">cordeiro2016online</t>
  </si>
  <si>
    <t xml:space="preserve">Cordeiro, Mário; Gama, João</t>
  </si>
  <si>
    <t xml:space="preserve">Online social networks event detection: a survey</t>
  </si>
  <si>
    <t xml:space="preserve">Solving large scale learning tasks. Challenges and algorithms: Essays dedicated to Katharina Morik on the occasion of her 60th birthday</t>
  </si>
  <si>
    <t xml:space="preserve">10.1007/978-3-319-41706-6_1</t>
  </si>
  <si>
    <t xml:space="preserve">Cross-Domain Events and Causality</t>
  </si>
  <si>
    <t xml:space="preserve">Social Media signals</t>
  </si>
  <si>
    <t xml:space="preserve">4.1.1</t>
  </si>
  <si>
    <t xml:space="preserve">SM Events</t>
  </si>
  <si>
    <t xml:space="preserve">4.1.1 SM Events; 4.1.3 Event-Level Descriptors</t>
  </si>
  <si>
    <t xml:space="preserve">OpenAlex W2487588802; Crossref DOI record checked</t>
  </si>
  <si>
    <t xml:space="preserve">W2487588802</t>
  </si>
  <si>
    <t xml:space="preserve">S101</t>
  </si>
  <si>
    <t xml:space="preserve">dou2012event</t>
  </si>
  <si>
    <t xml:space="preserve">Dou, Wenwen; Wang, Xiaoyu; Ribarsky, William; Zhou, Michelle</t>
  </si>
  <si>
    <t xml:space="preserve">Event detection in social media data</t>
  </si>
  <si>
    <t xml:space="preserve">IEEE VisWeek Workshop on Interactive Visual Text Analytics – task driven analytics of social media content</t>
  </si>
  <si>
    <t xml:space="preserve">Financial signals</t>
  </si>
  <si>
    <t xml:space="preserve">4.1.1 SM Events; 4.1.2 Financial Events</t>
  </si>
  <si>
    <t xml:space="preserve">OpenAlex W2398670371 (matched by title); no DOI in .bib</t>
  </si>
  <si>
    <t xml:space="preserve">W2398670371</t>
  </si>
  <si>
    <t xml:space="preserve">S102</t>
  </si>
  <si>
    <t xml:space="preserve">becker2009event</t>
  </si>
  <si>
    <t xml:space="preserve">Becker, Hila; Naaman, Mor; Gravano, Luis</t>
  </si>
  <si>
    <t xml:space="preserve">Event Identification in Social Media</t>
  </si>
  <si>
    <t xml:space="preserve">Proceedings of the 12th International Workshop on the Web and Databases (WebDB 2009)</t>
  </si>
  <si>
    <t xml:space="preserve">4.1.1 SM Events</t>
  </si>
  <si>
    <t xml:space="preserve">OpenAlex W96282607 (matched by title); no DOI in .bib</t>
  </si>
  <si>
    <t xml:space="preserve">W96282607</t>
  </si>
  <si>
    <t xml:space="preserve">S103</t>
  </si>
  <si>
    <t xml:space="preserve">coviello2014detecting</t>
  </si>
  <si>
    <t xml:space="preserve">Coviello, Lorenzo; Sohn, Yunkyu; Kramer, Adam DI; Marlow, Cameron; Franceschetti, Massimo; Christakis, Nicholas A; Fowler, James H</t>
  </si>
  <si>
    <t xml:space="preserve">Detecting emotional contagion in massive social networks</t>
  </si>
  <si>
    <t xml:space="preserve">PloS one</t>
  </si>
  <si>
    <t xml:space="preserve">10.1371/journal.pone.0090315</t>
  </si>
  <si>
    <t xml:space="preserve">OpenAlex W2055235810; Crossref DOI record checked</t>
  </si>
  <si>
    <t xml:space="preserve">W2055235810</t>
  </si>
  <si>
    <t xml:space="preserve">S104</t>
  </si>
  <si>
    <t xml:space="preserve">bayer2020social</t>
  </si>
  <si>
    <t xml:space="preserve">Bayer, Joseph B; Triệu, Penny; Ellison, Nicole B</t>
  </si>
  <si>
    <t xml:space="preserve">Social media elements, ecologies, and effects</t>
  </si>
  <si>
    <t xml:space="preserve">Annual review of psychology</t>
  </si>
  <si>
    <t xml:space="preserve">10.1146/annurev-psych-010419-050944</t>
  </si>
  <si>
    <t xml:space="preserve">OpenAlex W2973059560; Crossref DOI record checked</t>
  </si>
  <si>
    <t xml:space="preserve">W2973059560</t>
  </si>
  <si>
    <t xml:space="preserve">S105</t>
  </si>
  <si>
    <t xml:space="preserve">riva2016psychology</t>
  </si>
  <si>
    <t xml:space="preserve">Riva, Giuseppe; Wiederhold, Brenda K; Cipresso, Pietro</t>
  </si>
  <si>
    <t xml:space="preserve">Psychology of social media: From technology to identity</t>
  </si>
  <si>
    <t xml:space="preserve">The psychology of social networking: Personal experience in online communities</t>
  </si>
  <si>
    <t xml:space="preserve">10.1515/9783110473780-003</t>
  </si>
  <si>
    <t xml:space="preserve">OpenAlex W2512775825; Crossref DOI record checked</t>
  </si>
  <si>
    <t xml:space="preserve">W2512775825</t>
  </si>
  <si>
    <t xml:space="preserve">S106</t>
  </si>
  <si>
    <t xml:space="preserve">campbell1997econometrics</t>
  </si>
  <si>
    <t xml:space="preserve">Campbell, John Y.; Lo, Andrew W.; MacKinlay, A. Craig</t>
  </si>
  <si>
    <t xml:space="preserve">The Econometrics of Financial Markets</t>
  </si>
  <si>
    <t xml:space="preserve">Princeton University Press</t>
  </si>
  <si>
    <t xml:space="preserve">4.1.2</t>
  </si>
  <si>
    <t xml:space="preserve">Financial Events</t>
  </si>
  <si>
    <t xml:space="preserve">4.1.2 Financial Events; 4.2.1 Causal Identification in Cross-Domain Research</t>
  </si>
  <si>
    <t xml:space="preserve">Book, ISBN 9780691043012; the OpenAlex/Crossref record reached through the old DOI is a 1998 journal item about the book</t>
  </si>
  <si>
    <t xml:space="preserve">Corrected in surveybib_corrected.bib (2026-10-19): doi: DOI belongs to a 1998 item in Macroeconomic Dynamics about the book, not to the book; ISBN kept</t>
  </si>
  <si>
    <t xml:space="preserve">S107</t>
  </si>
  <si>
    <t xml:space="preserve">westaby2014psychology</t>
  </si>
  <si>
    <t xml:space="preserve">Westaby, James D; Pfaff, Danielle L; Redding, Nicholas</t>
  </si>
  <si>
    <t xml:space="preserve">Psychology and social networks: A dynamic network theory perspective.</t>
  </si>
  <si>
    <t xml:space="preserve">American Psychologist</t>
  </si>
  <si>
    <t xml:space="preserve">10.1037/a0036106</t>
  </si>
  <si>
    <t xml:space="preserve">4.1.2 Financial Events</t>
  </si>
  <si>
    <t xml:space="preserve">OpenAlex W1965757784; Crossref DOI record checked</t>
  </si>
  <si>
    <t xml:space="preserve">W1965757784</t>
  </si>
  <si>
    <t xml:space="preserve">S108</t>
  </si>
  <si>
    <t xml:space="preserve">wang2022causal</t>
  </si>
  <si>
    <t xml:space="preserve">Wang, Xinjie; Xiang, Zhiqiang; Xu, Weike; Yuan, Peixuan</t>
  </si>
  <si>
    <t xml:space="preserve">The causal relationship between social media sentiment and stock return: Experimental evidence from an online message forum</t>
  </si>
  <si>
    <t xml:space="preserve">Economics Letters</t>
  </si>
  <si>
    <t xml:space="preserve">10.1016/j.econlet.2022.110598</t>
  </si>
  <si>
    <t xml:space="preserve">4.2</t>
  </si>
  <si>
    <t xml:space="preserve">Cross-Domain Research</t>
  </si>
  <si>
    <t xml:space="preserve">4.2 Cross-Domain Research</t>
  </si>
  <si>
    <t xml:space="preserve">restored to text in revision</t>
  </si>
  <si>
    <t xml:space="preserve">OpenAlex W4280493991 (matched by title); DOI corrected in .bib; full text checked</t>
  </si>
  <si>
    <t xml:space="preserve">Corrected in surveybib_corrected.bib (2026-10-19): doi: DOI missing</t>
  </si>
  <si>
    <t xml:space="preserve">W4280493991</t>
  </si>
  <si>
    <t xml:space="preserve">S109</t>
  </si>
  <si>
    <t xml:space="preserve">yang2018applications</t>
  </si>
  <si>
    <t xml:space="preserve">Yang, Steve Y; Liu, Anqi; Chen, Jing; Hawkes, Alan</t>
  </si>
  <si>
    <t xml:space="preserve">Applications of a multivariate Hawkes process to joint modeling of sentiment and market return events</t>
  </si>
  <si>
    <t xml:space="preserve">Quantitative finance</t>
  </si>
  <si>
    <t xml:space="preserve">10.1080/14697688.2017.1403156</t>
  </si>
  <si>
    <t xml:space="preserve">OpenAlex W2618229020; Crossref DOI record checked</t>
  </si>
  <si>
    <t xml:space="preserve">W2618229020</t>
  </si>
  <si>
    <t xml:space="preserve">S110</t>
  </si>
  <si>
    <t xml:space="preserve">ding2021quantifying</t>
  </si>
  <si>
    <t xml:space="preserve">Ding, Xiao; Shi, Jihao; Duan, Junwen; Qin, Bing; Liu, Ting</t>
  </si>
  <si>
    <t xml:space="preserve">Quantifying the effects of long-term news on stock markets on the basis of the multikernel Hawkes process</t>
  </si>
  <si>
    <t xml:space="preserve">Science China Information Sciences</t>
  </si>
  <si>
    <t xml:space="preserve">10.1007/s11432-020-3064-4</t>
  </si>
  <si>
    <t xml:space="preserve">OpenAlex W3196388595; Crossref DOI record checked</t>
  </si>
  <si>
    <t xml:space="preserve">W3196388595</t>
  </si>
  <si>
    <t xml:space="preserve">S111</t>
  </si>
  <si>
    <t xml:space="preserve">arcuri2023does</t>
  </si>
  <si>
    <t xml:space="preserve">Arcuri, Maria Cristina; Gandolfi, Gino; Russo, Ivan</t>
  </si>
  <si>
    <t xml:space="preserve">Does fake news impact stock returns? Evidence from US and EU stock markets</t>
  </si>
  <si>
    <t xml:space="preserve">Journal of Economics and Business</t>
  </si>
  <si>
    <t xml:space="preserve">10.1016/j.jeconbus.2023.106130</t>
  </si>
  <si>
    <t xml:space="preserve">OpenAlex W4383955198; Crossref DOI record checked</t>
  </si>
  <si>
    <t xml:space="preserve">W4383955198</t>
  </si>
  <si>
    <t xml:space="preserve">S112</t>
  </si>
  <si>
    <t xml:space="preserve">fan2024measuring</t>
  </si>
  <si>
    <t xml:space="preserve">Fan, Jianqing; Liu, Qingfu; Song, Yang; Wang, Zilu</t>
  </si>
  <si>
    <t xml:space="preserve">Measuring Misinformation in Financial Markets</t>
  </si>
  <si>
    <t xml:space="preserve">&lt;https://ssrn.com/abstract=4922648&gt;</t>
  </si>
  <si>
    <t xml:space="preserve">10.2139/ssrn.4922648</t>
  </si>
  <si>
    <t xml:space="preserve">OpenAlex W4402357837; Crossref DOI record checked</t>
  </si>
  <si>
    <t xml:space="preserve">W4402357837</t>
  </si>
  <si>
    <t xml:space="preserve">S113</t>
  </si>
  <si>
    <t xml:space="preserve">granger1969investigating</t>
  </si>
  <si>
    <t xml:space="preserve">Granger, Clive WJ</t>
  </si>
  <si>
    <t xml:space="preserve">Investigating causal relations by econometric models and cross-spectral methods</t>
  </si>
  <si>
    <t xml:space="preserve">Econometrica: journal of the Econometric Society</t>
  </si>
  <si>
    <t xml:space="preserve">10.2307/1912791</t>
  </si>
  <si>
    <t xml:space="preserve">4.2.1</t>
  </si>
  <si>
    <t xml:space="preserve">Causal Identification in Cross-Domain Research</t>
  </si>
  <si>
    <t xml:space="preserve">4.2.1 Causal Identification in Cross-Domain Research</t>
  </si>
  <si>
    <t xml:space="preserve">OpenAlex W2178225550; Crossref DOI record checked</t>
  </si>
  <si>
    <t xml:space="preserve">W2178225550</t>
  </si>
  <si>
    <t xml:space="preserve">S114</t>
  </si>
  <si>
    <t xml:space="preserve">sims1980macroeconomics</t>
  </si>
  <si>
    <t xml:space="preserve">Sims, Christopher A</t>
  </si>
  <si>
    <t xml:space="preserve">Macroeconomics and reality</t>
  </si>
  <si>
    <t xml:space="preserve">10.2307/1912017</t>
  </si>
  <si>
    <t xml:space="preserve">OpenAlex W2019459021; Crossref DOI record checked</t>
  </si>
  <si>
    <t xml:space="preserve">W2019459021</t>
  </si>
  <si>
    <t xml:space="preserve">S115</t>
  </si>
  <si>
    <t xml:space="preserve">schreiber2000measuring</t>
  </si>
  <si>
    <t xml:space="preserve">Schreiber, Thomas</t>
  </si>
  <si>
    <t xml:space="preserve">Measuring information transfer</t>
  </si>
  <si>
    <t xml:space="preserve">Physical review letters</t>
  </si>
  <si>
    <t xml:space="preserve">10.1103/PhysRevLett.85.461</t>
  </si>
  <si>
    <t xml:space="preserve">OpenAlex W2041782669; Crossref DOI record checked</t>
  </si>
  <si>
    <t xml:space="preserve">W2041782669</t>
  </si>
  <si>
    <t xml:space="preserve">S116</t>
  </si>
  <si>
    <t xml:space="preserve">card1993minimum</t>
  </si>
  <si>
    <t xml:space="preserve">Card, David; Krueger, Alan B</t>
  </si>
  <si>
    <t xml:space="preserve">Minimum wages and employment: A case study of the fast food industry in New Jersey and Pennsylvania</t>
  </si>
  <si>
    <t xml:space="preserve">National Bureau of Economic Research Cambridge, Mass., USA</t>
  </si>
  <si>
    <t xml:space="preserve">10.3386/w4509</t>
  </si>
  <si>
    <t xml:space="preserve">OpenAlex W3123707900; Crossref DOI record checked</t>
  </si>
  <si>
    <t xml:space="preserve">W3123707900</t>
  </si>
  <si>
    <t xml:space="preserve">S117</t>
  </si>
  <si>
    <t xml:space="preserve">imbens2008regression</t>
  </si>
  <si>
    <t xml:space="preserve">Imbens, Guido W; Lemieux, Thomas</t>
  </si>
  <si>
    <t xml:space="preserve">Regression discontinuity designs: A guide to practice</t>
  </si>
  <si>
    <t xml:space="preserve">10.1016/j.jeconom.2007.05.001</t>
  </si>
  <si>
    <t xml:space="preserve">OpenAlex W3122958054; Crossref DOI record checked</t>
  </si>
  <si>
    <t xml:space="preserve">W3122958054</t>
  </si>
  <si>
    <t xml:space="preserve">S118</t>
  </si>
  <si>
    <t xml:space="preserve">abadie2010synthetic</t>
  </si>
  <si>
    <t xml:space="preserve">Abadie, Alberto; Diamond, Alexis; Hainmueller, Jens</t>
  </si>
  <si>
    <t xml:space="preserve">Synthetic control methods for comparative case studies: Estimating the effect of California's tobacco control program</t>
  </si>
  <si>
    <t xml:space="preserve">Journal of the American statistical Association</t>
  </si>
  <si>
    <t xml:space="preserve">10.1198/jasa.2009.ap08746</t>
  </si>
  <si>
    <t xml:space="preserve">OpenAlex W3125057276; Crossref DOI record checked</t>
  </si>
  <si>
    <t xml:space="preserve">W3125057276</t>
  </si>
  <si>
    <t xml:space="preserve">S119</t>
  </si>
  <si>
    <t xml:space="preserve">assaad2022survey</t>
  </si>
  <si>
    <t xml:space="preserve">Assaad, Charles K; Devijver, Emilie; Gaussier, Eric</t>
  </si>
  <si>
    <t xml:space="preserve">Survey and evaluation of causal discovery methods for time series</t>
  </si>
  <si>
    <t xml:space="preserve">Journal of Artificial Intelligence Research</t>
  </si>
  <si>
    <t xml:space="preserve">10.1613/jair.1.13428</t>
  </si>
  <si>
    <t xml:space="preserve">OpenAlex W4214698730; Crossref DOI record checked</t>
  </si>
  <si>
    <t xml:space="preserve">W4214698730</t>
  </si>
  <si>
    <t xml:space="preserve">S120</t>
  </si>
  <si>
    <t xml:space="preserve">gong2024causal</t>
  </si>
  <si>
    <t xml:space="preserve">Gong, Chang; Zhang, Chuzhe; Yao, Di; Bi, Jingping; Li, Wenbin; Xu, Yongjun</t>
  </si>
  <si>
    <t xml:space="preserve">Causal discovery from temporal data: An overview and new perspectives</t>
  </si>
  <si>
    <t xml:space="preserve">ACM Computing Surveys</t>
  </si>
  <si>
    <t xml:space="preserve">10.1145/3705297</t>
  </si>
  <si>
    <t xml:space="preserve">OpenAlex W4404650820; Crossref DOI record checked</t>
  </si>
  <si>
    <t xml:space="preserve">W4404650820</t>
  </si>
  <si>
    <t xml:space="preserve">S121</t>
  </si>
  <si>
    <t xml:space="preserve">chen2024discovery</t>
  </si>
  <si>
    <t xml:space="preserve">Chen, Li; Li, Chunlin; Shen, Xiaotong; Pan, Wei</t>
  </si>
  <si>
    <t xml:space="preserve">Discovery and inference of a causal network with hidden confounding</t>
  </si>
  <si>
    <t xml:space="preserve">Journal of the American Statistical Association</t>
  </si>
  <si>
    <t xml:space="preserve">10.1080/01621459.2023.2261658</t>
  </si>
  <si>
    <t xml:space="preserve">OpenAlex W4386875684; Crossref DOI record checked</t>
  </si>
  <si>
    <t xml:space="preserve">W4386875684</t>
  </si>
  <si>
    <t xml:space="preserve">S122</t>
  </si>
  <si>
    <t xml:space="preserve">runge2019detecting</t>
  </si>
  <si>
    <t xml:space="preserve">Runge, Jakob; Nowack, Peer; Kretschmer, Marlene; Flaxman, Seth; Sejdinovic, Dino</t>
  </si>
  <si>
    <t xml:space="preserve">Detecting and quantifying causal associations in large nonlinear time series datasets</t>
  </si>
  <si>
    <t xml:space="preserve">Science advances</t>
  </si>
  <si>
    <t xml:space="preserve">10.1126/sciadv.aau4996</t>
  </si>
  <si>
    <t xml:space="preserve">OpenAlex W2593118993; Crossref DOI record checked</t>
  </si>
  <si>
    <t xml:space="preserve">W2593118993</t>
  </si>
  <si>
    <t xml:space="preserve">S123</t>
  </si>
  <si>
    <t xml:space="preserve">sadeghi2025causal</t>
  </si>
  <si>
    <t xml:space="preserve">Sadeghi, Agathe; Gopal, Achintya; Fesanghary, Mohammad</t>
  </si>
  <si>
    <t xml:space="preserve">Causal discovery from nonstationary time series</t>
  </si>
  <si>
    <t xml:space="preserve">International Journal of Data Science and Analytics</t>
  </si>
  <si>
    <t xml:space="preserve">10.1007/s41060-024-00679-7</t>
  </si>
  <si>
    <t xml:space="preserve">OpenAlex W4404439782 (matched by title); DOI corrected in .bib</t>
  </si>
  <si>
    <t xml:space="preserve">Corrected in surveybib_corrected.bib (2026-10-19): doi: DOI truncated (last character missing)</t>
  </si>
  <si>
    <t xml:space="preserve">W4404439782</t>
  </si>
  <si>
    <t xml:space="preserve">S124</t>
  </si>
  <si>
    <t xml:space="preserve">tong2022assessing</t>
  </si>
  <si>
    <t xml:space="preserve">Tong, Zezheng; Goodell, John W; Shen, Dehua</t>
  </si>
  <si>
    <t xml:space="preserve">Assessing causal relationships between cryptocurrencies and investor attention: New results from transfer entropy methodology</t>
  </si>
  <si>
    <t xml:space="preserve">Finance Research Letters</t>
  </si>
  <si>
    <t xml:space="preserve">10.1016/j.frl.2022.103351</t>
  </si>
  <si>
    <t xml:space="preserve">OpenAlex W4296197040; Crossref DOI record checked</t>
  </si>
  <si>
    <t xml:space="preserve">W4296197040</t>
  </si>
  <si>
    <t xml:space="preserve">S125</t>
  </si>
  <si>
    <t xml:space="preserve">seetharam2024headlines</t>
  </si>
  <si>
    <t xml:space="preserve">Seetharam, Yudhvir; Nyakurukwa, Kingstone</t>
  </si>
  <si>
    <t xml:space="preserve">Headlines or Hashtags? The battle in social media for investor sentiment in the stock market</t>
  </si>
  <si>
    <t xml:space="preserve">International Journal of Information Management Data Insights</t>
  </si>
  <si>
    <t xml:space="preserve">10.1016/j.jjimei.2024.100273</t>
  </si>
  <si>
    <t xml:space="preserve">OpenAlex W4401637502; Crossref DOI record checked; full text checked</t>
  </si>
  <si>
    <t xml:space="preserve">W4401637502</t>
  </si>
  <si>
    <t xml:space="preserve">S126</t>
  </si>
  <si>
    <t xml:space="preserve">ghazouani2025virtual</t>
  </si>
  <si>
    <t xml:space="preserve">Ghazouani, Iheb; Ghazouani, Ines; Omri, Abdelwahed</t>
  </si>
  <si>
    <t xml:space="preserve">Virtual influence, real impact: Deciphering social media sentiment and its effects on cryptocurrency market dynamics</t>
  </si>
  <si>
    <t xml:space="preserve">Blockchain: Research and Applications</t>
  </si>
  <si>
    <t xml:space="preserve">10.1016/j.bcra.2025.100375</t>
  </si>
  <si>
    <t xml:space="preserve">OpenAlex W4413466225; Crossref DOI record checked; full text checked</t>
  </si>
  <si>
    <t xml:space="preserve">Corrected in surveybib_corrected.bib (2026-10-19): year/volume: Published in volume 7 (2026); online 2025</t>
  </si>
  <si>
    <t xml:space="preserve">W4413466225</t>
  </si>
  <si>
    <t xml:space="preserve">cited_in_section</t>
  </si>
  <si>
    <t xml:space="preserve">reason not in corpus</t>
  </si>
  <si>
    <t xml:space="preserve">kumar2018false</t>
  </si>
  <si>
    <t xml:space="preserve">Kumar, Srijan; Shah, Neil</t>
  </si>
  <si>
    <t xml:space="preserve">False information on web and social media: A survey</t>
  </si>
  <si>
    <t xml:space="preserve">10.48550/arXiv.1804.08559</t>
  </si>
  <si>
    <t xml:space="preserve">1.1</t>
  </si>
  <si>
    <t xml:space="preserve">Background and motivation (information ecosystem). Cited outside the sections counted in the PRISMA categories.</t>
  </si>
  <si>
    <t xml:space="preserve">armstrong2019organized</t>
  </si>
  <si>
    <t xml:space="preserve">Armstrong, Jeremy</t>
  </si>
  <si>
    <t xml:space="preserve">Organized chaos: manipuli, socii, and the Roman army c. 300</t>
  </si>
  <si>
    <t xml:space="preserve">10.4324/9781351063500-5</t>
  </si>
  <si>
    <t xml:space="preserve">Historical motivation; possible citation-claim mismatch (chapter title concerns Roman army organisation). Cited outside the sections counted in the PRISMA categories.</t>
  </si>
  <si>
    <t xml:space="preserve">nam2025detecting</t>
  </si>
  <si>
    <t xml:space="preserve">Nam, D; Skillicorn, David B</t>
  </si>
  <si>
    <t xml:space="preserve">Detecting Pump &amp;Dump stock market manipulation from online forums</t>
  </si>
  <si>
    <t xml:space="preserve">10.1007/s42521-024-00121-4</t>
  </si>
  <si>
    <t xml:space="preserve">1.2</t>
  </si>
  <si>
    <t xml:space="preserve">Background (algorithmic amplification). Cited outside the sections counted in the PRISMA categories.</t>
  </si>
  <si>
    <t xml:space="preserve">silva2025guidelines</t>
  </si>
  <si>
    <t xml:space="preserve">Silva, Marcus VS; dos Santos, Luiz FC; Soares, Michel S; Rocha, Fabio Gomes</t>
  </si>
  <si>
    <t xml:space="preserve">Guidelines for the Application of Event Driven Architecture in Micro Services with High Volume of Data</t>
  </si>
  <si>
    <t xml:space="preserve">10.5220/0013348600003929</t>
  </si>
  <si>
    <t xml:space="preserve">Software-engineering motivation. Cited outside the sections counted in the PRISMA categories.</t>
  </si>
  <si>
    <t xml:space="preserve">nazir2024architecting</t>
  </si>
  <si>
    <t xml:space="preserve">Nazir, Roger; Bucaioni, Alessio; Pelliccione, Patrizio</t>
  </si>
  <si>
    <t xml:space="preserve">Architecting ML-enabled systems: Challenges, best practices, and design decisions</t>
  </si>
  <si>
    <t xml:space="preserve">10.1016/j.jss.2023.111860</t>
  </si>
  <si>
    <t xml:space="preserve">rahman2025secureai</t>
  </si>
  <si>
    <t xml:space="preserve">Abdur Rahman; Md. Badiuzzaman Biplob</t>
  </si>
  <si>
    <t xml:space="preserve">SecureAI-Flow: A Security-Oriented CI/CD Framework for AI Software</t>
  </si>
  <si>
    <t xml:space="preserve">10.20944/preprints202506.0035.v1</t>
  </si>
  <si>
    <t xml:space="preserve">chen2025year</t>
  </si>
  <si>
    <t xml:space="preserve">Chen, Yisong; Zhao, Chuqing; Xu, Yixin; Nie, Chuanhao</t>
  </si>
  <si>
    <t xml:space="preserve">Year-over-year developments in financial fraud detection via deep learning: A systematic literature review</t>
  </si>
  <si>
    <t xml:space="preserve">10.48550/arXiv.2502.00201</t>
  </si>
  <si>
    <t xml:space="preserve">Motivation (experimental prototypes). Cited outside the sections counted in the PRISMA categories.</t>
  </si>
  <si>
    <t xml:space="preserve">Cortis2020SocialOpinionMining</t>
  </si>
  <si>
    <t xml:space="preserve">Cortis, Keith; Davis, Brian</t>
  </si>
  <si>
    <t xml:space="preserve">Over a decade of social opinion mining: a systematic review</t>
  </si>
  <si>
    <t xml:space="preserve">10.1007/s10462-020-09864-2</t>
  </si>
  <si>
    <t xml:space="preserve">1.4</t>
  </si>
  <si>
    <t xml:space="preserve">Prior survey used to position the review. Cited outside the sections counted in the PRISMA categories.</t>
  </si>
  <si>
    <t xml:space="preserve">Reveilhac2022SocialMediaSurveys</t>
  </si>
  <si>
    <t xml:space="preserve">Reveilhac, Maud; Steinmetz, Stephanie; Morselli, Davide</t>
  </si>
  <si>
    <t xml:space="preserve">A systematic literature review of how and whether social media data can complement traditional survey data to study public opinion</t>
  </si>
  <si>
    <t xml:space="preserve">10.1007/s11042-022-12121-3</t>
  </si>
  <si>
    <t xml:space="preserve">Abkenar2020BigDataSocialMedia</t>
  </si>
  <si>
    <t xml:space="preserve">Bazzaz Abkenar, Sepideh; Kashani, Mohammad Hossein; Mahdipour, Ebrahim; Jameii, Seyed Mohammad</t>
  </si>
  <si>
    <t xml:space="preserve">Big data analytics meets social media: A systematic review of techniques, open issues, and future directions</t>
  </si>
  <si>
    <t xml:space="preserve">10.1016/j.tele.2020.101517</t>
  </si>
  <si>
    <t xml:space="preserve">Rahman2022SystematicReviewBigDataSocialMedia</t>
  </si>
  <si>
    <t xml:space="preserve">Rahman, Md. Saifur; Reza, Hassan</t>
  </si>
  <si>
    <t xml:space="preserve">A Systematic Review Towards Big Data Analytics in Social Media</t>
  </si>
  <si>
    <t xml:space="preserve">10.26599/BDMA.2022.9020019</t>
  </si>
  <si>
    <t xml:space="preserve">Long2025SocialMediaCapitalMarkets</t>
  </si>
  <si>
    <t xml:space="preserve">Long, Wen; Guo, Man</t>
  </si>
  <si>
    <t xml:space="preserve">Social media and capital markets: an interdisciplinary bibliometric analysis</t>
  </si>
  <si>
    <t xml:space="preserve">10.1186/s40854-024-00731-2</t>
  </si>
  <si>
    <t xml:space="preserve">Sundarasen2025TweetsToTrades</t>
  </si>
  <si>
    <t xml:space="preserve">Sundarasen, Suresh; Saleem, Farida</t>
  </si>
  <si>
    <t xml:space="preserve">From tweets to trades: A bibliometric and systematic review of social media's influence on cryptocurrency</t>
  </si>
  <si>
    <t xml:space="preserve">10.3390/ijfs13020087</t>
  </si>
  <si>
    <t xml:space="preserve">Doogan2023TopicModelsShortTextSocialMedia</t>
  </si>
  <si>
    <t xml:space="preserve">Doogan, Caitlin; Buntine, Wray L.; Linger, Helen</t>
  </si>
  <si>
    <t xml:space="preserve">A systematic review of the use of topic models for short text social media analysis</t>
  </si>
  <si>
    <t xml:space="preserve">10.1007/s10462-023-10471-x</t>
  </si>
  <si>
    <t xml:space="preserve">kitchenham2004evidence</t>
  </si>
  <si>
    <t xml:space="preserve">Kitchenham, Barbara A; Dyba, Tore; Jorgensen, Magne</t>
  </si>
  <si>
    <t xml:space="preserve">Evidence-based software engineering</t>
  </si>
  <si>
    <t xml:space="preserve">10.1109/ICSE.2004.1317449</t>
  </si>
  <si>
    <t xml:space="preserve">2</t>
  </si>
  <si>
    <t xml:space="preserve">SLR methodology guideline. Cited outside the sections counted in the PRISMA categories.</t>
  </si>
  <si>
    <t xml:space="preserve">stol2015holistic</t>
  </si>
  <si>
    <t xml:space="preserve">Stol, Klaas-Jan; Fitzgerald, Brian</t>
  </si>
  <si>
    <t xml:space="preserve">A holistic overview of software engineering research strategies</t>
  </si>
  <si>
    <t xml:space="preserve">10.1109/CESI.2015.15</t>
  </si>
  <si>
    <t xml:space="preserve">hinderks2020slr</t>
  </si>
  <si>
    <t xml:space="preserve">Hinderks, Andreas; Mayo, Francisco José Domínguez; Thomaschewski, Jörg; Escalona, María José</t>
  </si>
  <si>
    <t xml:space="preserve">An SLR-Tool: Search process in practice: A tool to conduct and manage systematic literature review (SLR)</t>
  </si>
  <si>
    <t xml:space="preserve">10.1145/3377812.3382137</t>
  </si>
  <si>
    <t xml:space="preserve">stapic2012performing</t>
  </si>
  <si>
    <t xml:space="preserve">Stapic, Zlatko; López, Eva García; Cabot, Antonio García; de Marcos Ortega, Luis; Strahonja, Vjeran</t>
  </si>
  <si>
    <t xml:space="preserve">Performing systematic literature review in software engineering</t>
  </si>
  <si>
    <t xml:space="preserve">page2021prisma</t>
  </si>
  <si>
    <t xml:space="preserve">Page, Matthew J; McKenzie, Joanne E; Bossuyt, Patrick M; Boutron, Isabelle; Hoffmann, Tammy C; Mulrow, Cynthia D; Shamseer, Larissa; Tetzlaff, Jennifer M; Akl, Elie A; Brennan, Sue E; et al.</t>
  </si>
  <si>
    <t xml:space="preserve">The PRISMA 2020 statement: An updated guideline for reporting systematic reviews</t>
  </si>
  <si>
    <t xml:space="preserve">10.1136/bmj.n71</t>
  </si>
  <si>
    <t xml:space="preserve">2.2</t>
  </si>
  <si>
    <t xml:space="preserve">PRISMA 2020 reporting guideline. Cited outside the sections counted in the PRISMA categories.</t>
  </si>
  <si>
    <t xml:space="preserve">hausner2012routine</t>
  </si>
  <si>
    <t xml:space="preserve">Hausner, Elke; Waffenschmidt, Siw; Kaiser, Thomas; Simon, Michael</t>
  </si>
  <si>
    <t xml:space="preserve">Routine development of objectively derived search strategies</t>
  </si>
  <si>
    <t xml:space="preserve">10.1186/2046-4053-1-19</t>
  </si>
  <si>
    <t xml:space="preserve">2 (Reproducibility of the Review)</t>
  </si>
  <si>
    <t xml:space="preserve">Method for objectively derived search strategies (known-item retrieval check); cited in the revision. Cited outside the sections counted in the PRISMA categories.</t>
  </si>
  <si>
    <t xml:space="preserve">column</t>
  </si>
  <si>
    <t xml:space="preserve">label</t>
  </si>
  <si>
    <t xml:space="preserve">definition</t>
  </si>
  <si>
    <t xml:space="preserve">Sequential identifier in manuscript order (S001-S126).</t>
  </si>
  <si>
    <t xml:space="preserve">Citation key exactly as used in the manuscript and surveybib.bib.</t>
  </si>
  <si>
    <t xml:space="preserve">Journal article / Conference paper / Book / Book chapter / Preprint / working paper</t>
  </si>
  <si>
    <t xml:space="preserve">Taken from the BibTeX entry type and venue field, as used for the corpus-composition table.</t>
  </si>
  <si>
    <t xml:space="preserve">Social media analysis / Financial market events / Cross-Domain Events and Causality</t>
  </si>
  <si>
    <t xml:space="preserve">The three groups of the PRISMA flow diagram ("Included studies categorized by conceptual theme").</t>
  </si>
  <si>
    <t xml:space="preserve">17 categories</t>
  </si>
  <si>
    <t xml:space="preserve">The category box of the PRISMA diagram in which the study is counted. Each study is counted once, in the first section where it is analysed.</t>
  </si>
  <si>
    <t xml:space="preserve">Further PRISMA category in which the study is also analysed. These are the "overlapping studies" shown in the diagram (2 in Financial signals, 1 in Cross-Domain Challenges, 5 in Causal Identification).</t>
  </si>
  <si>
    <t xml:space="preserve">section_no / section</t>
  </si>
  <si>
    <t xml:space="preserve">Manuscript section that corresponds to the PRISMA category.</t>
  </si>
  <si>
    <t xml:space="preserve">C1-C6, F1-F5</t>
  </si>
  <si>
    <t xml:space="preserve">Methodological class; assigned only where the study is listed in an appendix table.</t>
  </si>
  <si>
    <t xml:space="preserve">All manuscript sections in which the study is cited.</t>
  </si>
  <si>
    <t xml:space="preserve">Findings or contributions analysed to characterise the state of research.</t>
  </si>
  <si>
    <t xml:space="preserve">Cited as the origin or standard reference of a definition, model or statistical method; included by the rule in Section 2.2 on foundational works.</t>
  </si>
  <si>
    <t xml:space="preserve">Study belonged to the corpus counted in the PRISMA diagram; its citation had been lost from the text during revision and was restored.</t>
  </si>
  <si>
    <t xml:space="preserve">Result of the metadata check of 19 October 2026: OpenAlex work ID, and whether the DOI record was checked in Crossref. Bibliographic data are taken from surveybib_corrected.bib.</t>
  </si>
  <si>
    <t xml:space="preserve">Correction applied to the .bib entry, or a remaining point to verify.</t>
  </si>
  <si>
    <t xml:space="preserve">OpenAlex work identifier (https://openalex.org/&lt;id&gt;). Empty = not indexed in OpenAlex.</t>
  </si>
  <si>
    <t xml:space="preserve">yes / no</t>
  </si>
  <si>
    <t xml:space="preserve">Publication year 2021-2026 (the database search window, Section 2.2). Only these studies enter the known-item retrieval check; older works are foundational works included through citation searching.</t>
  </si>
  <si>
    <t xml:space="preserve">development / validation</t>
  </si>
  <si>
    <t xml:space="preserve">Set of the known-item retrieval check (studies published 2021-2026 only; split at random within each PRISMA category, seed 20261019). Development titles were used to derive the query; validation studies were used only to evaluate it.</t>
  </si>
  <si>
    <t xml:space="preserve">yes / no / not indexed in OpenAlex</t>
  </si>
  <si>
    <t xml:space="preserve">Validation set only: whether the final query of the known-item retrieval check (sheet validation_result: term query with the date, document-type and subject-field restrictions) returned the study in OpenAlex on 20 October 2026. Empty for the development set, whose titles were used to build the query (development set: 42 of 44 retrieved).</t>
  </si>
  <si>
    <t xml:space="preserve">class</t>
  </si>
  <si>
    <t xml:space="preserve">name (manuscript heading)</t>
  </si>
  <si>
    <t xml:space="preserve">definition (quoted from the manuscript)</t>
  </si>
  <si>
    <t xml:space="preserve">manuscript section</t>
  </si>
  <si>
    <t xml:space="preserve">appendix table</t>
  </si>
  <si>
    <t xml:space="preserve">studies in register</t>
  </si>
  <si>
    <t xml:space="preserve">Mathematical and System-Dynamics Modeling of Opinion Manipulation</t>
  </si>
  <si>
    <t xml:space="preserve">The first class approaches opinion manipulation as a dynamic process that can be described using formal mathematical models. In this line of work, the main objective is not to classify individual posts or claims, but to understand how opinions change over time, when instability emerges, and under which conditions misinformation becomes dominant or polarization intensifies.</t>
  </si>
  <si>
    <t xml:space="preserve">3.4 Opinion Detection and Modeling</t>
  </si>
  <si>
    <t xml:space="preserve">Statistical Machine Learning and Deep Learning Content Detection</t>
  </si>
  <si>
    <t xml:space="preserve">The second class treats opinion manipulation primarily as a content detection problem. Here the central task is to determine whether a post, article, claim, or rumor is false, misleading, or otherwise suspicious by learning patterns from text and related contextual information.</t>
  </si>
  <si>
    <t xml:space="preserve">Hybrid Human-AI Annotation and Verification</t>
  </si>
  <si>
    <t xml:space="preserve">The third class arises because manipulation is not always detectable by automatic classification. Context-sensitive claims and rhetorical devices frequently require human interpretation.</t>
  </si>
  <si>
    <t xml:space="preserve">Network Structure and Propagation Analysis</t>
  </si>
  <si>
    <t xml:space="preserve">The fourth class of studies examines opinion manipulation via patterns of diffusion, community structures, and actor roles. In these studies, misinformation is no longer considered a characteristic of a given piece of text, but rather a phenomenon in terms of how it diffuses within a social group, who promotes it, and how network structures influence its persistence and spread.</t>
  </si>
  <si>
    <t xml:space="preserve">Behavioral and Psychological Modeling</t>
  </si>
  <si>
    <t xml:space="preserve">The fifth class examines manipulation from the perspective of the user, rather than focusing on the message or the network. The main question is why some people are more vulnerable to misleading information, more likely to believe it, and more affected emotionally and behaviorally.</t>
  </si>
  <si>
    <t xml:space="preserve">Intervention and Inoculation Strategies</t>
  </si>
  <si>
    <t xml:space="preserve">The sixth class brings the discussion from explanation to response. Instead of asking how manipulation works or why people are vulnerable, these studies test strategies intended to weaken manipulation, improve resistance, or redesign the environment in which misinformation spreads.</t>
  </si>
  <si>
    <t xml:space="preserve">Classical event-study econometrics</t>
  </si>
  <si>
    <t xml:space="preserve">Classical event studies evaluate whether an externally identified event is associated with abnormal security returns.</t>
  </si>
  <si>
    <t xml:space="preserve">3.6 Methodological Approaches in Financial Event Research</t>
  </si>
  <si>
    <t xml:space="preserve">Volatility, risk, and structural change</t>
  </si>
  <si>
    <t xml:space="preserve">Financial events may also appear as changes in volatility or in the parameters governing the return-generating process rather than as directional changes in mean returns.</t>
  </si>
  <si>
    <t xml:space="preserve">High-frequency and intraday market response</t>
  </si>
  <si>
    <t xml:space="preserve">High-frequency approaches reduce the observation window from days to minutes, seconds, or transaction time, thereby allowing more precise analysis of how markets react around information arrivals.</t>
  </si>
  <si>
    <t xml:space="preserve">Textual and attention-augmented asset pricing</t>
  </si>
  <si>
    <t xml:space="preserve">A fourth group converts information itself into measurable financial signals.</t>
  </si>
  <si>
    <t xml:space="preserve">Market manipulation and abusive trading detection</t>
  </si>
  <si>
    <t xml:space="preserve">The final group concerns information or trading activity intentionally designed to influence market behavior.</t>
  </si>
  <si>
    <t xml:space="preserve">Total</t>
  </si>
  <si>
    <t xml:space="preserve">Assignment: each of the 84 studies listed in the appendix tables is assigned to exactly one class (it appears in one appendix table). Studies were coded and classified by the first author according to their thematic focus and methodological characteristics, and the classifications were reviewed by the research supervisors; ambiguous cases were discussed jointly until agreement was reached (Section 2.2). The manuscript does not report an agreement statistic.</t>
  </si>
  <si>
    <t xml:space="preserve">The other 42 included studies (opinion and its manipulation, social-media and financial signals, cross-domain challenges, causal identification) are not assigned to a class (column method_class empty on Data).</t>
  </si>
  <si>
    <t xml:space="preserve">Publication type</t>
  </si>
  <si>
    <t xml:space="preserve">Reported (corpus-composition table)</t>
  </si>
  <si>
    <t xml:space="preserve">Register</t>
  </si>
  <si>
    <t xml:space="preserve">Difference</t>
  </si>
  <si>
    <t xml:space="preserve">Theme</t>
  </si>
  <si>
    <t xml:space="preserve">Reported (PRISMA diagram)</t>
  </si>
  <si>
    <t xml:space="preserve">Study role</t>
  </si>
  <si>
    <t xml:space="preserve">Publication years (min / max)</t>
  </si>
  <si>
    <t xml:space="preserve">Reported: 1969-2026</t>
  </si>
  <si>
    <t xml:space="preserve">OpenAlex (metadata check and retrieval check)</t>
  </si>
  <si>
    <t xml:space="preserve">Included studies published 2021-2026 (search window)</t>
  </si>
  <si>
    <t xml:space="preserve">  of which indexed in OpenAlex</t>
  </si>
  <si>
    <t xml:space="preserve">Studies (of 126) indexed in OpenAlex (metadata check)</t>
  </si>
  <si>
    <t xml:space="preserve">Blue = value reported in the manuscript; black = computed from the Data sheet.</t>
  </si>
  <si>
    <t xml:space="preserve">PRISMA category</t>
  </si>
  <si>
    <t xml:space="preserve">Diagram: n</t>
  </si>
  <si>
    <t xml:space="preserve">Diagram: overlapping</t>
  </si>
  <si>
    <t xml:space="preserve">Register: counted here</t>
  </si>
  <si>
    <t xml:space="preserve">Register: overlapping</t>
  </si>
  <si>
    <t xml:space="preserve">Register: n</t>
  </si>
  <si>
    <t xml:space="preserve">Match</t>
  </si>
  <si>
    <t xml:space="preserve">Total studies (each counted once)</t>
  </si>
  <si>
    <t xml:space="preserve">concept</t>
  </si>
  <si>
    <t xml:space="preserve">keywords and synonyms</t>
  </si>
  <si>
    <t xml:space="preserve">representative Boolean string (as reported)</t>
  </si>
  <si>
    <t xml:space="preserve">records (as reported)</t>
  </si>
  <si>
    <t xml:space="preserve">Social Media Manipulation</t>
  </si>
  <si>
    <t xml:space="preserve">misinformation, disinformation, fake news, propaganda, opinion manipulation, influence operations</t>
  </si>
  <si>
    <t xml:space="preserve">("social media" OR "online social networks") AND (misinformation OR disinformation OR "fake news" OR propaganda OR "opinion manipulation")</t>
  </si>
  <si>
    <t xml:space="preserve">Opinion Dynamics in Networks</t>
  </si>
  <si>
    <t xml:space="preserve">opinion dynamics, social influence, information diffusion, consensus formation, bounded confidence</t>
  </si>
  <si>
    <t xml:space="preserve">("opinion dynamics" OR "information diffusion" OR "social influence") AND ("social networks" OR "online social networks")</t>
  </si>
  <si>
    <t xml:space="preserve">Event Detection in Social Media</t>
  </si>
  <si>
    <t xml:space="preserve">event detection, burst detection, topic detection, social media events, event extraction</t>
  </si>
  <si>
    <t xml:space="preserve">("event detection" OR "bursty events" OR "event extraction") AND ("social media" OR "online social networks")</t>
  </si>
  <si>
    <t xml:space="preserve">Fake News and Propaganda Detection</t>
  </si>
  <si>
    <t xml:space="preserve">fake news detection, propaganda detection, rumor detection, misinformation classification</t>
  </si>
  <si>
    <t xml:space="preserve">("fake news detection" OR "propaganda detection" OR "rumor detection") AND ("social media" OR "online platforms")</t>
  </si>
  <si>
    <t xml:space="preserve">Financial Events and Market Responses</t>
  </si>
  <si>
    <t xml:space="preserve">event studies, abnormal returns, volatility, structural changes, high-frequency market responses</t>
  </si>
  <si>
    <t xml:space="preserve">("event study" OR "financial event" OR "market event" OR "information event") AND ("abnormal return" OR volatility OR "structural break" OR "market reaction")</t>
  </si>
  <si>
    <t xml:space="preserve">Social Media and Financial Markets</t>
  </si>
  <si>
    <t xml:space="preserve">investor sentiment, investor attention, misinformation, market manipulation, pump and dump, market reactions</t>
  </si>
  <si>
    <t xml:space="preserve">("social media" OR Twitter OR Reddit OR Telegram) AND ("stock market" OR "financial market" OR cryptocurrency) AND ("market reaction" OR "market impact" OR "price impact" OR "return predictability" OR "market manipulation")</t>
  </si>
  <si>
    <t xml:space="preserve">Source: search-concepts table (tab:search_concepts), Section 2.2. They are not the query of the known-item retrieval check.</t>
  </si>
  <si>
    <t xml:space="preserve"># Known-item retrieval check: protocol</t>
  </si>
  <si>
    <t xml:space="preserve">Retrospective check of whether the included studies of the review can be retrieved in OpenAlex by a</t>
  </si>
  <si>
    <t xml:space="preserve">title query that is derived by fixed rules from part of the included studies and tested on the others</t>
  </si>
  <si>
    <t xml:space="preserve">(objective approach of Hausner E, Waffenschmidt S, Kaiser T, Simon M. Routine development of</t>
  </si>
  <si>
    <t xml:space="preserve">objectively derived search strategies. Systematic Reviews 2012;1:19. doi:10.1186/2046-4053-1-19).</t>
  </si>
  <si>
    <t xml:space="preserve">This experiment measures known-item retrieval within the previously selected corpus. Because both the</t>
  </si>
  <si>
    <t xml:space="preserve">development and validation samples originate from that corpus, the results are conditional on the</t>
  </si>
  <si>
    <t xml:space="preserve">original study-selection process and cannot establish the completeness, representativeness, or</t>
  </si>
  <si>
    <t xml:space="preserve">sensitivity of the original systematic search. The check does not reproduce the original search of</t>
  </si>
  <si>
    <t xml:space="preserve">the review (Section 2.2, Table 2 and the PRISMA diagram of the manuscript). Section 8 records when each</t>
  </si>
  <si>
    <t xml:space="preserve">rule was fixed.</t>
  </si>
  <si>
    <t xml:space="preserve">## 1. Population and split  (split_corpus.py)</t>
  </si>
  <si>
    <t xml:space="preserve">* Included studies published 2021-2026 (register column in_search_window = yes): 82.</t>
  </si>
  <si>
    <t xml:space="preserve">* Strata: flow-diagram category (prisma_box). Within each stratum: bibkeys sorted, shuffled with one</t>
  </si>
  <si>
    <t xml:space="preserve">  random.Random(20261019) (strata in sorted order); first ceil(n/2) -&gt; development set, rest -&gt;</t>
  </si>
  <si>
    <t xml:space="preserve">  validation set.</t>
  </si>
  <si>
    <t xml:space="preserve">* Result: 44 development studies, 38 validation studies. The development studies are used to build</t>
  </si>
  <si>
    <t xml:space="preserve">  the query; the validation studies are used to test it.</t>
  </si>
  <si>
    <t xml:space="preserve">## 2. Retrieval restrictions  (applied in OpenAlex)</t>
  </si>
  <si>
    <t xml:space="preserve">The date and document-type restrictions follow the eligibility criteria of the review. The</t>
  </si>
  <si>
    <t xml:space="preserve">subject-field restriction is not an eligibility criterion: it is an additional restriction of the</t>
  </si>
  <si>
    <t xml:space="preserve">search strategy, used to reduce the number of records. It was specified after earlier runs</t>
  </si>
  <si>
    <t xml:space="preserve">(Section 8).</t>
  </si>
  <si>
    <t xml:space="preserve">* Publication date 2020-01-01 to 2026-12-31. The window starts one year before the studies checked</t>
  </si>
  <si>
    <t xml:space="preserve">  because OpenAlex dates some works by their first online or preprint version (e.g. arnold2022attention,</t>
  </si>
  <si>
    <t xml:space="preserve">  published in 2022, is dated 2020).</t>
  </si>
  <si>
    <t xml:space="preserve">* Document types excluded: dissertation, dataset, paratext, editorial, letter, erratum, peer-review,</t>
  </si>
  <si>
    <t xml:space="preserve">  retraction. All other types are kept, so that journal articles, conference papers, books, book</t>
  </si>
  <si>
    <t xml:space="preserve">  chapters and preprints, which the review admits, are not excluded.</t>
  </si>
  <si>
    <t xml:space="preserve">* No language restriction. The review admits English-language publications only, but OpenAlex assigns</t>
  </si>
  <si>
    <t xml:space="preserve">  the language automatically and leaves some works without a language; a language filter excludes them.</t>
  </si>
  <si>
    <t xml:space="preserve">  Two included studies (cui2025toward, goldsmith2025causal) have no language assigned and would be</t>
  </si>
  <si>
    <t xml:space="preserve">  lost (Section 8). The language criterion is applied when the records are screened, not in the query.</t>
  </si>
  <si>
    <t xml:space="preserve">* Subject fields: the OpenAlex field of each work's primary topic must be the primary-topic field of</t>
  </si>
  <si>
    <t xml:space="preserve">  at least one development study. The fields are taken from the development</t>
  </si>
  <si>
    <t xml:space="preserve">  studies only. Works without a primary topic are excluded by this restriction.</t>
  </si>
  <si>
    <t xml:space="preserve">## 3. Candidate terms  (derive_terms.py; reads development titles only)</t>
  </si>
  <si>
    <t xml:space="preserve">* Titles from the register (surveybib_corrected.bib). Lower case; tokens = runs of letters/digits;</t>
  </si>
  <si>
    <t xml:space="preserve">  a fixed stop-word list (in the script); digits-only tokens ignored.</t>
  </si>
  <si>
    <t xml:space="preserve">* Plural variants are counted together (trailing -s / -ies removed for counting only; the query uses</t>
  </si>
  <si>
    <t xml:space="preserve">  the form most frequent in the development titles).</t>
  </si>
  <si>
    <t xml:space="preserve">* Candidates:</t>
  </si>
  <si>
    <t xml:space="preserve">  (a) single words and two-word phrases (adjacent, no stop word) that occur in the titles of at least</t>
  </si>
  <si>
    <t xml:space="preserve">      two development studies;</t>
  </si>
  <si>
    <t xml:space="preserve">  (b) every keyword and quoted phrase of Table 2 (columns "Keywords and Synonyms" and</t>
  </si>
  <si>
    <t xml:space="preserve">      "Representative Boolean Search String") that occurs in the title of at least one development study.</t>
  </si>
  <si>
    <t xml:space="preserve">## 4. Term enrichment and threshold selection  (run_validation.py)</t>
  </si>
  <si>
    <t xml:space="preserve">* For each candidate term, its frequency in the OpenAlex title index was determined under the</t>
  </si>
  <si>
    <t xml:space="preserve">  publication-date and document-type restrictions of Section 2. N = number of works under the same</t>
  </si>
  <si>
    <t xml:space="preserve">  restrictions and no title condition.</t>
  </si>
  <si>
    <t xml:space="preserve">* Over-representation ratio r = (development titles containing the term / 44) / (OpenAlex count / N).</t>
  </si>
  <si>
    <t xml:space="preserve">  The ratio measures enrichment of the term in the development set relative to its prevalence in</t>
  </si>
  <si>
    <t xml:space="preserve">  OpenAlex. It is used for query construction and does not constitute an estimate of search precision</t>
  </si>
  <si>
    <t xml:space="preserve">  or specificity.</t>
  </si>
  <si>
    <t xml:space="preserve">* Threshold R: the largest value in the grid {10, 20, 50, 100, 200, 500, 1000} for which the query</t>
  </si>
  <si>
    <t xml:space="preserve">  (all candidates with r &gt;= R) still matches at least 90% of the 44 development titles (offline title</t>
  </si>
  <si>
    <t xml:space="preserve">  match). If no grid value reaches 90%, the smallest value (10) is used. Offline matching of the</t>
  </si>
  <si>
    <t xml:space="preserve">  development titles is used only for this choice; all retrieval outcomes come from OpenAlex searches.</t>
  </si>
  <si>
    <t xml:space="preserve">* A two-word phrase is dropped from the query when one of its words is itself a retained single word.</t>
  </si>
  <si>
    <t xml:space="preserve">## 5. Query  (run_validation.py builds and freezes the term query; run_final.py adds the restrictions and runs it)</t>
  </si>
  <si>
    <t xml:space="preserve">* Term query: one title query (title.search), all retained terms combined with OR; frozen with its</t>
  </si>
  <si>
    <t xml:space="preserve">  SHA-256 before it was first run.</t>
  </si>
  <si>
    <t xml:space="preserve">* Restrictions: the date, document-type and subject-field restrictions of Section 2; no language</t>
  </si>
  <si>
    <t xml:space="preserve">  restriction. run_final.py checks the SHA-256 of the term query and records the full filter string</t>
  </si>
  <si>
    <t xml:space="preserve">  with its SHA-256.</t>
  </si>
  <si>
    <t xml:space="preserve">* A SHA-256 documents the exact configuration that was run and that it was not changed afterwards; it</t>
  </si>
  <si>
    <t xml:space="preserve">  does not by itself show that the configuration was chosen independently of the validation results</t>
  </si>
  <si>
    <t xml:space="preserve">  (see Section 8).</t>
  </si>
  <si>
    <t xml:space="preserve">## 6. Run and outcomes</t>
  </si>
  <si>
    <t xml:space="preserve">* The query is run once in OpenAlex.</t>
  </si>
  <si>
    <t xml:space="preserve">* Primary outcome: share of validation studies retrieved, with Wilson 95% confidence interval,</t>
  </si>
  <si>
    <t xml:space="preserve">  reported over all 38 and over those indexed in OpenAlex.</t>
  </si>
  <si>
    <t xml:space="preserve">* Secondary: share of development studies retrieved; number of records; validation studies indexed in</t>
  </si>
  <si>
    <t xml:space="preserve">  OpenAlex but not retrieved, and validation studies not indexed in OpenAlex; records by OpenAlex</t>
  </si>
  <si>
    <t xml:space="preserve">  field; records not tagged as English (descriptive).</t>
  </si>
  <si>
    <t xml:space="preserve">* No change to terms, threshold, restrictions or query after the run.</t>
  </si>
  <si>
    <t xml:space="preserve">## 7. Reporting</t>
  </si>
  <si>
    <t xml:space="preserve">* The protocol, the scripts, the frozen query, the restrictions and all outputs are published with</t>
  </si>
  <si>
    <t xml:space="preserve">  Supplementary Table S1. Deviations are reported with their reasons (Section 8).</t>
  </si>
  <si>
    <t xml:space="preserve">## 8. Record of how this protocol was fixed</t>
  </si>
  <si>
    <t xml:space="preserve">* 19 October 2026, before any term was derived or any count retrieved: Sections 1, 3, 4, the date and</t>
  </si>
  <si>
    <t xml:space="preserve">  document-type restrictions, and the run and outcome rules (history/PROTOCOL_v1.md; hashes in</t>
  </si>
  <si>
    <t xml:space="preserve">  history/MANIFEST.txt). The term query was frozen (27 terms, R = 100; SHA-256</t>
  </si>
  <si>
    <t xml:space="preserve">  51377ba9737a1b12a8a0b8878bb0c5a27f32e47ad78dd6255a59cf54fb06a7f6) and run with the date and</t>
  </si>
  <si>
    <t xml:space="preserve">  document-type restrictions only: 528,412 records; validation 29/38. This is the original</t>
  </si>
  <si>
    <t xml:space="preserve">  pre-specified configuration, evaluated before any validation result was known.</t>
  </si>
  <si>
    <t xml:space="preserve">  Technical deviation: the first execution used a register file without OpenAlex identifiers, so no</t>
  </si>
  <si>
    <t xml:space="preserve">  study could be matched; the matching step was re-executed with the same frozen query (run_step3.py).</t>
  </si>
  <si>
    <t xml:space="preserve">* 20 October 2026, after that result: a language filter (English only) and the subject-field</t>
  </si>
  <si>
    <t xml:space="preserve">  restriction of Section 2 were added (history/PROTOCOL_v2.md, addenda 1 and 2; hashes in</t>
  </si>
  <si>
    <t xml:space="preserve">  history/MANIFEST_v2.txt). The field rule was written before any field data were retrieved. English</t>
  </si>
  <si>
    <t xml:space="preserve">  only: 427,734 records, validation 27/38; English only and fields: 247,876 records, validation 27/38.</t>
  </si>
  <si>
    <t xml:space="preserve">  The two validation studies lost (cui2025toward, goldsmith2025causal) have no language assigned in</t>
  </si>
  <si>
    <t xml:space="preserve">  OpenAlex; their fields are kept. The fields of all 82 studies were then read (show_fields.py): all 36</t>
  </si>
  <si>
    <t xml:space="preserve">  indexed validation studies have their primary topic in one of the fields kept.</t>
  </si>
  <si>
    <t xml:space="preserve">* 20 October 2026: two variants that also replaced generic terms by phrases (every term with more than</t>
  </si>
  <si>
    <t xml:space="preserve">  K = 50,000 or K = 10,000 OpenAlex title matches replaced by its candidate phrases) were run once each</t>
  </si>
  <si>
    <t xml:space="preserve">  and not adopted, because they lost validation studies: 297,641 records, validation 24/38; 49,580</t>
  </si>
  <si>
    <t xml:space="preserve">  records, validation 12/38.</t>
  </si>
  <si>
    <t xml:space="preserve">* 20 October 2026: the language filter was dropped, because it removes works without an assigned</t>
  </si>
  <si>
    <t xml:space="preserve">  language, including two included studies. The final configuration (Sections 2 and 5) was hashed</t>
  </si>
  <si>
    <t xml:space="preserve">  before it was run (history/MANIFEST_final.txt), but after the fields of the validation studies were</t>
  </si>
  <si>
    <t xml:space="preserve">  known. The field restriction was thus not specified before the first run. The final configuration</t>
  </si>
  <si>
    <t xml:space="preserve">  is used for the reported filtered retrieval result, while the original pre-specified configuration</t>
  </si>
  <si>
    <t xml:space="preserve">  and all intermediate runs are retained as part of the methodological audit trail.</t>
  </si>
  <si>
    <t xml:space="preserve">* 20 October 2026, after the final run: editorial revision of this document (statement on known-item</t>
  </si>
  <si>
    <t xml:space="preserve">  retrieval; Section 2 renamed "Retrieval restrictions"; Section 4 renamed "Term enrichment and</t>
  </si>
  <si>
    <t xml:space="preserve">  threshold selection"; Sections 5, 6 and 9 clarified). No rule, restriction, query or result was</t>
  </si>
  <si>
    <t xml:space="preserve">  changed. The version hashed before the final run is history/PROTOCOL_final_prerun.md.</t>
  </si>
  <si>
    <t xml:space="preserve">## 9. Result  (run_final.py, 20 October 2026; run_output_final/)</t>
  </si>
  <si>
    <t xml:space="preserve">The term query, the threshold and the date and document-type restrictions were fixed before any</t>
  </si>
  <si>
    <t xml:space="preserve">validation result. The subject-field restriction was specified after the validation results of an</t>
  </si>
  <si>
    <t xml:space="preserve">earlier configuration and the primary-topic fields of the validation studies had been inspected; the</t>
  </si>
  <si>
    <t xml:space="preserve">result below is therefore not an independent validation of that restriction.</t>
  </si>
  <si>
    <t xml:space="preserve">* Fields kept: Social Sciences (23 development studies); Economics, Econometrics and Finance (15);</t>
  </si>
  <si>
    <t xml:space="preserve">  Computer Science (3); Physics and Astronomy (2); Decision Sciences (1).</t>
  </si>
  <si>
    <t xml:space="preserve">* Records: 311,556. Without the subject-field restriction the query returned 528,902 records on the</t>
  </si>
  <si>
    <t xml:space="preserve">  same day, so the restriction removed 217,346 records (41.1%). Records not tagged as English by</t>
  </si>
  <si>
    <t xml:space="preserve">  OpenAlex (another language or none): 63,578 (20.4%); the language criterion is applied to them at</t>
  </si>
  <si>
    <t xml:space="preserve">  screening.</t>
  </si>
  <si>
    <t xml:space="preserve">* Validation set: 29/38 = 76.3% (95% CI 60.8-87.0%); indexed in OpenAlex: 29/36 = 80.6%</t>
  </si>
  <si>
    <t xml:space="preserve">  (95% CI 65.0-90.2%). Development set: 42/44 = 95.5%.</t>
  </si>
  <si>
    <t xml:space="preserve">* Validation studies indexed in OpenAlex but not retrieved (7): hrckova2025autonomation,</t>
  </si>
  <si>
    <t xml:space="preserve">  liu2024exploring, smith2024unraveling, su2025emotionally, yang2025price, bradley2024place,</t>
  </si>
  <si>
    <t xml:space="preserve">  roy2024unveiling.</t>
  </si>
  <si>
    <t xml:space="preserve">* Validation studies not indexed in OpenAlex (2): cayuela2025influence, kumarsocial.</t>
  </si>
  <si>
    <t xml:space="preserve">Interpretation</t>
  </si>
  <si>
    <t xml:space="preserve">* The subject-field restriction did not remove any of the known included studies retrieved by the</t>
  </si>
  <si>
    <t xml:space="preserve">  original query: the original pre-specified configuration retrieved the same validation studies</t>
  </si>
  <si>
    <t xml:space="preserve">  (Section 8). The check does not show that the 217,346 records removed by the</t>
  </si>
  <si>
    <t xml:space="preserve">  restriction contain no other relevant studies, and it cannot be used as evidence of the absence of</t>
  </si>
  <si>
    <t xml:space="preserve">  selection bias.</t>
  </si>
  <si>
    <t xml:space="preserve">item</t>
  </si>
  <si>
    <t xml:space="preserve">value</t>
  </si>
  <si>
    <t xml:space="preserve">protocol</t>
  </si>
  <si>
    <t xml:space="preserve">search_protocol (PROTOCOL.md). Term query, threshold, date and document-type restrictions fixed on 19 October 2026 before any count; subject-field restriction added on 20 October 2026 after earlier runs; a language filter was tested and dropped (sheet protocol_history).</t>
  </si>
  <si>
    <t xml:space="preserve">what the check measures</t>
  </si>
  <si>
    <t xml:space="preserve">Known-item retrieval within the previously selected corpus. Because both the development and validation samples originate from that corpus, the results are conditional on the original study selection and cannot establish the completeness, representativeness or sensitivity of the original systematic search.</t>
  </si>
  <si>
    <t xml:space="preserve">database</t>
  </si>
  <si>
    <t xml:space="preserve">OpenAlex, title search (title.search). Term query frozen on 19 October 2026; final run on 20 October 2026 (run_final.py).</t>
  </si>
  <si>
    <t xml:space="preserve">date restriction</t>
  </si>
  <si>
    <t xml:space="preserve">from_publication_date:2020-01-01,to_publication_date:2026-12-31 - one year before the 2021-2026 window of the included studies, because OpenAlex dates some works by their first online or preprint version (among the 82 studies, arnold2022attention, published in 2022, is dated 2020 in OpenAlex; no validation study is dated before 2021).</t>
  </si>
  <si>
    <t xml:space="preserve">document-type restriction</t>
  </si>
  <si>
    <t xml:space="preserve">type:!dissertation,type:!dataset,type:!paratext,type:!editorial,type:!letter,type:!erratum,type:!peer-review,type:!retraction - all other types (journal articles, conference papers, books, book chapters, preprints) are kept.</t>
  </si>
  <si>
    <t xml:space="preserve">subject-field restriction</t>
  </si>
  <si>
    <t xml:space="preserve">Not an eligibility criterion; used to reduce the number of records. OpenAlex field of the primary topic, kept if it is the field of at least one development study: Social Sciences (23 development studies); Economics, Econometrics and Finance (15 development studies); Computer Science (3 development studies); Physics and Astronomy (2 development studies); Decision Sciences (1 development studies). Chosen after the fields of the validation studies had been inspected, so not independently validated.</t>
  </si>
  <si>
    <t xml:space="preserve">language restriction</t>
  </si>
  <si>
    <t xml:space="preserve">none. OpenAlex leaves some works without a language, and a language filter would exclude two included studies (cui2025toward, goldsmith2025causal); the English-language criterion is applied at screening.</t>
  </si>
  <si>
    <t xml:space="preserve">N (works with the date and type restrictions; used for the ratios)</t>
  </si>
  <si>
    <t xml:space="preserve">71,319,636</t>
  </si>
  <si>
    <t xml:space="preserve">threshold R (chosen on the development set)</t>
  </si>
  <si>
    <t xml:space="preserve">frozen term query (27 terms)</t>
  </si>
  <si>
    <t xml:space="preserve">causal OR chamber OR chatbot OR cryptocurrency OR disinformation OR echo OR "event studies" OR fake OR "financial market" OR garch OR hawkes OR "influence operations" OR investor OR manipulation OR misinformation OR news OR "online social networks" OR opinion OR propaganda OR "pump and dump" OR reddit OR rumor OR sentiment OR "social networks" OR stock OR "structural break" OR twitter</t>
  </si>
  <si>
    <t xml:space="preserve">term query SHA-256</t>
  </si>
  <si>
    <t xml:space="preserve">51377ba9737a1b12a8a0b8878bb0c5a27f32e47ad78dd6255a59cf54fb06a7f6 (documents the exact query run; it does not by itself show that the configuration was chosen independently of the validation results)</t>
  </si>
  <si>
    <t xml:space="preserve">records returned</t>
  </si>
  <si>
    <t xml:space="preserve">311,556 (without the subject-field restriction on the same day: 528,902; removed by the restriction: 217,346, 41.1%)</t>
  </si>
  <si>
    <t xml:space="preserve">records not tagged as English (descriptive)</t>
  </si>
  <si>
    <t xml:space="preserve">63,578 (20.4%; another language or no language assigned)</t>
  </si>
  <si>
    <t xml:space="preserve">validation set, all (primary outcome)</t>
  </si>
  <si>
    <t xml:space="preserve">29/38 = 76.3% (95% CI 60.8%-87.0%)</t>
  </si>
  <si>
    <t xml:space="preserve">validation set, indexed in OpenAlex</t>
  </si>
  <si>
    <t xml:space="preserve">29/36 = 80.6% (95% CI 65.0%-90.2%)</t>
  </si>
  <si>
    <t xml:space="preserve">development set</t>
  </si>
  <si>
    <t xml:space="preserve">42/44 = 95.5% (95% CI 84.9%-98.7%)</t>
  </si>
  <si>
    <t xml:space="preserve">validation studies indexed in OpenAlex but not retrieved (7)</t>
  </si>
  <si>
    <t xml:space="preserve">hrckova2025autonomation; liu2024exploring; smith2024unraveling; su2025emotionally; yang2025price; bradley2024place; roy2024unveiling</t>
  </si>
  <si>
    <t xml:space="preserve">validation studies not indexed in OpenAlex (2)</t>
  </si>
  <si>
    <t xml:space="preserve">cayuela2025influence; kumarsocial</t>
  </si>
  <si>
    <t xml:space="preserve">interpretation</t>
  </si>
  <si>
    <t xml:space="preserve">The subject-field restriction did not remove any of the known included studies retrieved by the original query: the original pre-specified configuration retrieved the same validation studies (sheet protocol_history). The check does not show that the records removed by the restriction contain no other relevant studies, and it cannot be used as evidence of the absence of selection bias.</t>
  </si>
  <si>
    <t xml:space="preserve">method note</t>
  </si>
  <si>
    <t xml:space="preserve">Offline matching of the development titles was used exclusively for threshold selection; all retrieval outcomes were determined from the actual OpenAlex search results.</t>
  </si>
  <si>
    <t xml:space="preserve">field check</t>
  </si>
  <si>
    <t xml:space="preserve">All 36 indexed validation studies have their primary topic in one of the fields kept (sheet openalex_fields).</t>
  </si>
  <si>
    <t xml:space="preserve">Threshold selection on the development set (offline title match)</t>
  </si>
  <si>
    <t xml:space="preserve">R</t>
  </si>
  <si>
    <t xml:space="preserve">terms in query</t>
  </si>
  <si>
    <t xml:space="preserve">development titles matched</t>
  </si>
  <si>
    <t xml:space="preserve">Validation set: per-study result</t>
  </si>
  <si>
    <t xml:space="preserve">OpenAlex ID</t>
  </si>
  <si>
    <t xml:space="preserve">OpenAlex field</t>
  </si>
  <si>
    <t xml:space="preserve">retrieved</t>
  </si>
  <si>
    <t xml:space="preserve">Computer Science</t>
  </si>
  <si>
    <t xml:space="preserve">Economics, Econometrics and Finance</t>
  </si>
  <si>
    <t xml:space="preserve">Physics and Astronomy</t>
  </si>
  <si>
    <t xml:space="preserve">Social Sciences</t>
  </si>
  <si>
    <t xml:space="preserve">Decision Sciences</t>
  </si>
  <si>
    <t xml:space="preserve">not indexed</t>
  </si>
  <si>
    <t xml:space="preserve">Additional descriptive count (not part of the protocol; nothing filtered): records of the final query by OpenAlex source type and work type, 20 October 2026 (count_by_source_type.py)</t>
  </si>
  <si>
    <t xml:space="preserve">source type (primary location)</t>
  </si>
  <si>
    <t xml:space="preserve">records</t>
  </si>
  <si>
    <t xml:space="preserve">share</t>
  </si>
  <si>
    <t xml:space="preserve">journal</t>
  </si>
  <si>
    <t xml:space="preserve">repository</t>
  </si>
  <si>
    <t xml:space="preserve">unknown</t>
  </si>
  <si>
    <t xml:space="preserve">conference</t>
  </si>
  <si>
    <t xml:space="preserve">book series</t>
  </si>
  <si>
    <t xml:space="preserve">ebook platform</t>
  </si>
  <si>
    <t xml:space="preserve">work type</t>
  </si>
  <si>
    <t xml:space="preserve">article</t>
  </si>
  <si>
    <t xml:space="preserve">conference-paper</t>
  </si>
  <si>
    <t xml:space="preserve">preprint</t>
  </si>
  <si>
    <t xml:space="preserve">book-chapter</t>
  </si>
  <si>
    <t xml:space="preserve">other</t>
  </si>
  <si>
    <t xml:space="preserve">report</t>
  </si>
  <si>
    <t xml:space="preserve">book</t>
  </si>
  <si>
    <t xml:space="preserve">libguides</t>
  </si>
  <si>
    <t xml:space="preserve">review</t>
  </si>
  <si>
    <t xml:space="preserve">conference-abstract</t>
  </si>
  <si>
    <t xml:space="preserve">book-review</t>
  </si>
  <si>
    <t xml:space="preserve">reference-entry</t>
  </si>
  <si>
    <t xml:space="preserve">software</t>
  </si>
  <si>
    <t xml:space="preserve">supplementary-materials</t>
  </si>
  <si>
    <t xml:space="preserve">data-paper</t>
  </si>
  <si>
    <t xml:space="preserve">standard</t>
  </si>
  <si>
    <t xml:space="preserve">software-paper</t>
  </si>
  <si>
    <t xml:space="preserve">Included studies 2021-2026 by OpenAlex source type: development set journal 38, repository 2, conference 1, ebook platform 1, book series 1, no source 1; validation set journal 32, repository 2, no source 2, not indexed 2.</t>
  </si>
  <si>
    <t xml:space="preserve">A journal-only restriction (not applied) would keep 175,350 records (56.3%) but lose the four retrieved validation studies without a journal source (cui2025toward: no source, huang2025hybrid: no source, fan2024measuring: repository, goldsmith2025causal: repository): validation 25/38 (65.8%). It would also exclude conference papers and preprints, which the review admits.</t>
  </si>
  <si>
    <t xml:space="preserve">Work types that the review would not include and that the document-type restriction did not exclude (libguides, software, book reviews, reference entries, supplementary materials, standards, software papers, conference abstracts) account for 5,342 records (1.7%).</t>
  </si>
  <si>
    <t xml:space="preserve">term</t>
  </si>
  <si>
    <t xml:space="preserve">kind</t>
  </si>
  <si>
    <t xml:space="preserve">source</t>
  </si>
  <si>
    <t xml:space="preserve">development titles (of 44)</t>
  </si>
  <si>
    <t xml:space="preserve">development categories</t>
  </si>
  <si>
    <t xml:space="preserve">OpenAlex title count</t>
  </si>
  <si>
    <t xml:space="preserve">over-representation ratio</t>
  </si>
  <si>
    <t xml:space="preserve">in frozen query</t>
  </si>
  <si>
    <t xml:space="preserve">opinion manipulation</t>
  </si>
  <si>
    <t xml:space="preserve">phrase</t>
  </si>
  <si>
    <t xml:space="preserve">Table 2</t>
  </si>
  <si>
    <t xml:space="preserve">pump and dump</t>
  </si>
  <si>
    <t xml:space="preserve">propaganda detection</t>
  </si>
  <si>
    <t xml:space="preserve">Class 3</t>
  </si>
  <si>
    <t xml:space="preserve">echo chamber</t>
  </si>
  <si>
    <t xml:space="preserve">Class 4; Class 6</t>
  </si>
  <si>
    <t xml:space="preserve">influence operations</t>
  </si>
  <si>
    <t xml:space="preserve">market manipulation</t>
  </si>
  <si>
    <t xml:space="preserve">hawkes process</t>
  </si>
  <si>
    <t xml:space="preserve">Cross-Domain Challenges; F3</t>
  </si>
  <si>
    <t xml:space="preserve">media sentiment</t>
  </si>
  <si>
    <t xml:space="preserve">Cross-Domain Challenges; F4</t>
  </si>
  <si>
    <t xml:space="preserve">hawkes</t>
  </si>
  <si>
    <t xml:space="preserve">word</t>
  </si>
  <si>
    <t xml:space="preserve">investor attention</t>
  </si>
  <si>
    <t xml:space="preserve">garch model</t>
  </si>
  <si>
    <t xml:space="preserve">stock return</t>
  </si>
  <si>
    <t xml:space="preserve">Cross-Domain Challenges; F1</t>
  </si>
  <si>
    <t xml:space="preserve">structural break</t>
  </si>
  <si>
    <t xml:space="preserve">opinion dynamics</t>
  </si>
  <si>
    <t xml:space="preserve">event studies</t>
  </si>
  <si>
    <t xml:space="preserve">misinformation</t>
  </si>
  <si>
    <t xml:space="preserve">development; Table 2</t>
  </si>
  <si>
    <t xml:space="preserve">Class 2; Class 3; Class 5; Class 6</t>
  </si>
  <si>
    <t xml:space="preserve">rumor</t>
  </si>
  <si>
    <t xml:space="preserve">Class 2; Class 4</t>
  </si>
  <si>
    <t xml:space="preserve">investor sentiment</t>
  </si>
  <si>
    <t xml:space="preserve">online social networks</t>
  </si>
  <si>
    <t xml:space="preserve">Class 4</t>
  </si>
  <si>
    <t xml:space="preserve">garch</t>
  </si>
  <si>
    <t xml:space="preserve">disinformation</t>
  </si>
  <si>
    <t xml:space="preserve">Class 1; Opinion Manipulation: Definition and Typologies</t>
  </si>
  <si>
    <t xml:space="preserve">causal relationship</t>
  </si>
  <si>
    <t xml:space="preserve">Causal Identification; Cross-Domain Challenges</t>
  </si>
  <si>
    <t xml:space="preserve">reddit</t>
  </si>
  <si>
    <t xml:space="preserve">fake news</t>
  </si>
  <si>
    <t xml:space="preserve">Class 2; Class 5; Opinion Manipulation: Definition and Typologies</t>
  </si>
  <si>
    <t xml:space="preserve">public opinion</t>
  </si>
  <si>
    <t xml:space="preserve">fake news detection</t>
  </si>
  <si>
    <t xml:space="preserve">Class 2</t>
  </si>
  <si>
    <t xml:space="preserve">financial market</t>
  </si>
  <si>
    <t xml:space="preserve">F2; F5</t>
  </si>
  <si>
    <t xml:space="preserve">fake</t>
  </si>
  <si>
    <t xml:space="preserve">cryptocurrency</t>
  </si>
  <si>
    <t xml:space="preserve">Causal Identification; F5</t>
  </si>
  <si>
    <t xml:space="preserve">investor</t>
  </si>
  <si>
    <t xml:space="preserve">Causal Identification; F4; F5</t>
  </si>
  <si>
    <t xml:space="preserve">news</t>
  </si>
  <si>
    <t xml:space="preserve">Class 2; Class 5; Class 6; Cross-Domain Challenges; F4; F5; Opinion Manipulation: Definition and Typologies</t>
  </si>
  <si>
    <t xml:space="preserve">manipulation</t>
  </si>
  <si>
    <t xml:space="preserve">F5; Opinion Manipulation: Definition and Typologies</t>
  </si>
  <si>
    <t xml:space="preserve">propaganda</t>
  </si>
  <si>
    <t xml:space="preserve">echo</t>
  </si>
  <si>
    <t xml:space="preserve">chamber</t>
  </si>
  <si>
    <t xml:space="preserve">causal</t>
  </si>
  <si>
    <t xml:space="preserve">Causal Identification; Class 6; Cross-Domain Challenges</t>
  </si>
  <si>
    <t xml:space="preserve">social networks</t>
  </si>
  <si>
    <t xml:space="preserve">Class 4; Class 6; Opinion Manipulation: Definition and Typologies</t>
  </si>
  <si>
    <t xml:space="preserve">stock market</t>
  </si>
  <si>
    <t xml:space="preserve">twitter</t>
  </si>
  <si>
    <t xml:space="preserve">chatbot</t>
  </si>
  <si>
    <t xml:space="preserve">Class 3; Class 5</t>
  </si>
  <si>
    <t xml:space="preserve">opinion</t>
  </si>
  <si>
    <t xml:space="preserve">Class 1; Opinion Manipulation: Definition and Typologies; Opinion in Social Networks</t>
  </si>
  <si>
    <t xml:space="preserve">sentiment</t>
  </si>
  <si>
    <t xml:space="preserve">Causal Identification; Cross-Domain Challenges; F4</t>
  </si>
  <si>
    <t xml:space="preserve">stock</t>
  </si>
  <si>
    <t xml:space="preserve">Causal Identification; Cross-Domain Challenges; F1; F4</t>
  </si>
  <si>
    <t xml:space="preserve">social media</t>
  </si>
  <si>
    <t xml:space="preserve">Causal Identification; Class 2; Class 4; Cross-Domain Challenges; F4; F5</t>
  </si>
  <si>
    <t xml:space="preserve">fall</t>
  </si>
  <si>
    <t xml:space="preserve">Class 5; F5</t>
  </si>
  <si>
    <t xml:space="preserve">llm</t>
  </si>
  <si>
    <t xml:space="preserve">Class 2; Class 3; Class 6</t>
  </si>
  <si>
    <t xml:space="preserve">taking</t>
  </si>
  <si>
    <t xml:space="preserve">Class 6; F4</t>
  </si>
  <si>
    <t xml:space="preserve">linguistic</t>
  </si>
  <si>
    <t xml:space="preserve">Class 2; Class 5</t>
  </si>
  <si>
    <t xml:space="preserve">breaking</t>
  </si>
  <si>
    <t xml:space="preserve">Class 6</t>
  </si>
  <si>
    <t xml:space="preserve">volatility</t>
  </si>
  <si>
    <t xml:space="preserve">return</t>
  </si>
  <si>
    <t xml:space="preserve">propagation</t>
  </si>
  <si>
    <t xml:space="preserve">Class 1; Class 4</t>
  </si>
  <si>
    <t xml:space="preserve">detecting</t>
  </si>
  <si>
    <t xml:space="preserve">private</t>
  </si>
  <si>
    <t xml:space="preserve">Class 3; Class 6</t>
  </si>
  <si>
    <t xml:space="preserve">discovery</t>
  </si>
  <si>
    <t xml:space="preserve">trust</t>
  </si>
  <si>
    <t xml:space="preserve">Class 5; Opinion Manipulation: Definition and Typologies</t>
  </si>
  <si>
    <t xml:space="preserve">market</t>
  </si>
  <si>
    <t xml:space="preserve">Causal Identification; Cross-Domain Challenges; F2; F5</t>
  </si>
  <si>
    <t xml:space="preserve">mathematical</t>
  </si>
  <si>
    <t xml:space="preserve">Class 1; Opinion in Social Networks</t>
  </si>
  <si>
    <t xml:space="preserve">media</t>
  </si>
  <si>
    <t xml:space="preserve">Causal Identification; Class 2; Class 4; Cross-Domain Challenges; F4; F5; Opinion Manipulation: Definition and Typologies</t>
  </si>
  <si>
    <t xml:space="preserve">financial</t>
  </si>
  <si>
    <t xml:space="preserve">F2; F3; F5</t>
  </si>
  <si>
    <t xml:space="preserve">user</t>
  </si>
  <si>
    <t xml:space="preserve">Class 4; Class 5</t>
  </si>
  <si>
    <t xml:space="preserve">attention</t>
  </si>
  <si>
    <t xml:space="preserve">Causal Identification; F4</t>
  </si>
  <si>
    <t xml:space="preserve">social</t>
  </si>
  <si>
    <t xml:space="preserve">Causal Identification; Class 2; Class 4; Class 6; Cross-Domain Challenges; F4; F5; Opinion Manipulation: Definition and Typologies</t>
  </si>
  <si>
    <t xml:space="preserve">online</t>
  </si>
  <si>
    <t xml:space="preserve">Class 4; Class 5; Cross-Domain Challenges</t>
  </si>
  <si>
    <t xml:space="preserve">public</t>
  </si>
  <si>
    <t xml:space="preserve">Class 1; Class 6; Opinion Manipulation: Definition and Typologies</t>
  </si>
  <si>
    <t xml:space="preserve">dynamics</t>
  </si>
  <si>
    <t xml:space="preserve">Class 1; F2; Opinion in Social Networks</t>
  </si>
  <si>
    <t xml:space="preserve">context</t>
  </si>
  <si>
    <t xml:space="preserve">groups</t>
  </si>
  <si>
    <t xml:space="preserve">detection</t>
  </si>
  <si>
    <t xml:space="preserve">Class 2; Class 3; Class 4; F2</t>
  </si>
  <si>
    <t xml:space="preserve">insights</t>
  </si>
  <si>
    <t xml:space="preserve">Class 2; Class 3</t>
  </si>
  <si>
    <t xml:space="preserve">hybrid</t>
  </si>
  <si>
    <t xml:space="preserve">relationship</t>
  </si>
  <si>
    <t xml:space="preserve">community</t>
  </si>
  <si>
    <t xml:space="preserve">Class 2; Class 6</t>
  </si>
  <si>
    <t xml:space="preserve">ai</t>
  </si>
  <si>
    <t xml:space="preserve">practices</t>
  </si>
  <si>
    <t xml:space="preserve">Class 5; Class 6</t>
  </si>
  <si>
    <t xml:space="preserve">networks</t>
  </si>
  <si>
    <t xml:space="preserve">Causal Identification; Class 4; Class 6; Opinion Manipulation: Definition and Typologies</t>
  </si>
  <si>
    <t xml:space="preserve">impact</t>
  </si>
  <si>
    <t xml:space="preserve">Class 5; F4; F5; Opinion Manipulation: Definition and Typologies</t>
  </si>
  <si>
    <t xml:space="preserve">framework</t>
  </si>
  <si>
    <t xml:space="preserve">Class 3; Opinion in Social Networks</t>
  </si>
  <si>
    <t xml:space="preserve">influencer</t>
  </si>
  <si>
    <t xml:space="preserve">Class 6; F5</t>
  </si>
  <si>
    <t xml:space="preserve">process</t>
  </si>
  <si>
    <t xml:space="preserve">role</t>
  </si>
  <si>
    <t xml:space="preserve">Class 6; Opinion Manipulation: Definition and Typologies</t>
  </si>
  <si>
    <t xml:space="preserve">enhanced</t>
  </si>
  <si>
    <t xml:space="preserve">approach</t>
  </si>
  <si>
    <t xml:space="preserve">performance</t>
  </si>
  <si>
    <t xml:space="preserve">F4; F5</t>
  </si>
  <si>
    <t xml:space="preserve">learning</t>
  </si>
  <si>
    <t xml:space="preserve">data</t>
  </si>
  <si>
    <t xml:space="preserve">Causal Identification; F3</t>
  </si>
  <si>
    <t xml:space="preserve">model</t>
  </si>
  <si>
    <t xml:space="preserve">Class 1; F2; F3</t>
  </si>
  <si>
    <t xml:space="preserve">modeling</t>
  </si>
  <si>
    <t xml:space="preserve">Over-representation ratio = (development titles containing the term / 44) / (OpenAlex title count / N), with the date and document-type restrictions. It measures enrichment of the term in the development set relative to OpenAlex; it is used for query construction and is not an estimate of search precision or specificity. Terms with ratio &gt;= R = 100 were kept; a phrase was dropped when one of its words was itself kept (e.g. "echo chamber" is covered by "echo" and "chamber").</t>
  </si>
  <si>
    <t xml:space="preserve">query</t>
  </si>
  <si>
    <t xml:space="preserve">date</t>
  </si>
  <si>
    <t xml:space="preserve">restrictions / change</t>
  </si>
  <si>
    <t xml:space="preserve">status</t>
  </si>
  <si>
    <t xml:space="preserve">development set (44)</t>
  </si>
  <si>
    <t xml:space="preserve">validation set, all (38)</t>
  </si>
  <si>
    <t xml:space="preserve">validation set, indexed (36)</t>
  </si>
  <si>
    <t xml:space="preserve">validation studies lost compared with the first configuration</t>
  </si>
  <si>
    <t xml:space="preserve">term query without subject-field restriction (rules fixed before any count)</t>
  </si>
  <si>
    <t xml:space="preserve">2026-10-19</t>
  </si>
  <si>
    <t xml:space="preserve">term query; dates 2020-2026; ineligible types excluded</t>
  </si>
  <si>
    <t xml:space="preserve">original pre-specified configuration (audit trail)</t>
  </si>
  <si>
    <t xml:space="preserve">-</t>
  </si>
  <si>
    <t xml:space="preserve">+ language filter</t>
  </si>
  <si>
    <t xml:space="preserve">2026-10-20</t>
  </si>
  <si>
    <t xml:space="preserve">as above + language:en</t>
  </si>
  <si>
    <t xml:space="preserve">dropped (lost two studies without a language)</t>
  </si>
  <si>
    <t xml:space="preserve">27/38 = 71.1% (95% CI 55.2%-83.0%)</t>
  </si>
  <si>
    <t xml:space="preserve">27/36 = 75.0% (95% CI 58.9%-86.2%)</t>
  </si>
  <si>
    <t xml:space="preserve">cui2025toward; goldsmith2025causal</t>
  </si>
  <si>
    <t xml:space="preserve">+ language and subject-field filters</t>
  </si>
  <si>
    <t xml:space="preserve">as above + fields of the development studies</t>
  </si>
  <si>
    <t xml:space="preserve">dropped (language filter)</t>
  </si>
  <si>
    <t xml:space="preserve">final: + subject-field restriction, no language filter</t>
  </si>
  <si>
    <t xml:space="preserve">term query; dates 2020-2026; ineligible types excluded; fields of the development studies</t>
  </si>
  <si>
    <t xml:space="preserve">final configuration (reported filtered retrieval result)</t>
  </si>
  <si>
    <t xml:space="preserve">phrases instead of generic terms, K = 50,000</t>
  </si>
  <si>
    <t xml:space="preserve">language:en; every term with &gt; 50,000 title matches replaced by its candidate phrases</t>
  </si>
  <si>
    <t xml:space="preserve">rejected (lost validation studies)</t>
  </si>
  <si>
    <t xml:space="preserve">39/44 = 88.6% (95% CI 76.0%-95.0%)</t>
  </si>
  <si>
    <t xml:space="preserve">24/38 = 63.2% (95% CI 47.3%-76.6%)</t>
  </si>
  <si>
    <t xml:space="preserve">24/36 = 66.7% (95% CI 50.3%-79.8%)</t>
  </si>
  <si>
    <t xml:space="preserve">assaad2022survey; sadeghi2025causal; amieur2025comparative; cui2025toward; goldsmith2025causal</t>
  </si>
  <si>
    <t xml:space="preserve">phrases instead of generic terms, K = 10,000</t>
  </si>
  <si>
    <t xml:space="preserve">language:en; every term with &gt; 10,000 title matches replaced by its candidate phrases</t>
  </si>
  <si>
    <t xml:space="preserve">26/44 = 59.1% (95% CI 44.4%-72.3%)</t>
  </si>
  <si>
    <t xml:space="preserve">12/38 = 31.6% (95% CI 19.1%-47.5%)</t>
  </si>
  <si>
    <t xml:space="preserve">12/36 = 33.3% (95% CI 20.2%-49.7%)</t>
  </si>
  <si>
    <t xml:space="preserve">17 studies</t>
  </si>
  <si>
    <t xml:space="preserve">The term query (27 terms, R = 100) is the same in every row; only the filters change, except in the two rejected rows. Each query was run once. Dated protocol documents with their SHA-256: history/ in the repository (PROTOCOL_v1.md, PROTOCOL_v2.md, PROTOCOL_final_prerun.md and the manifests).</t>
  </si>
  <si>
    <t xml:space="preserve">The subject-field restriction was added after the first run, so it was not specified in advance. The field rule (fields of the development studies only) was written before any field data were retrieved; the final configuration was hashed before its run but after the fields of the validation studies were known (show_fields.py), so the restriction is not independently validated.</t>
  </si>
  <si>
    <t xml:space="preserve">Language check (20 October 2026): OpenAlex assigns no language to cui2025toward (W4415736465) and goldsmith2025causal (W7106255595), the two validation studies lost with the language filter. The language filter was therefore dropped; the final query retrieves the same validation studies as the first configuration.</t>
  </si>
  <si>
    <t xml:space="preserve">Records on 20 October 2026: without the subject-field restriction the query returned 528,902 records (19 October 2026: 528,412; OpenAlex is updated continuously). The reduction by the restriction is computed between the two counts of 20 October 2026.</t>
  </si>
  <si>
    <t xml:space="preserve">Records of the first configuration by language (20 October 2026): tagged as English 427,734; not tagged as English (another language or no language assigned) 100,678 (19.1%). Dated 2020: 64,716 (12.2%); with a start date of 2021-01-01 the first configuration would return 463,696 records, with the same validation result.</t>
  </si>
  <si>
    <t xml:space="preserve">Confidence intervals are Wilson score intervals.</t>
  </si>
  <si>
    <t xml:space="preserve">Records of the query without the subject-field restriction, by OpenAlex field of the primary topic (20 October 2026)</t>
  </si>
  <si>
    <t xml:space="preserve">kept by the field restriction</t>
  </si>
  <si>
    <t xml:space="preserve">Business, Management and Accounting</t>
  </si>
  <si>
    <t xml:space="preserve">Medicine</t>
  </si>
  <si>
    <t xml:space="preserve">Engineering</t>
  </si>
  <si>
    <t xml:space="preserve">Arts and Humanities</t>
  </si>
  <si>
    <t xml:space="preserve">no primary topic</t>
  </si>
  <si>
    <t xml:space="preserve">Psychology</t>
  </si>
  <si>
    <t xml:space="preserve">Environmental Science</t>
  </si>
  <si>
    <t xml:space="preserve">Biochemistry, Genetics and Molecular Biology</t>
  </si>
  <si>
    <t xml:space="preserve">Agricultural and Biological Sciences</t>
  </si>
  <si>
    <t xml:space="preserve">Mathematics</t>
  </si>
  <si>
    <t xml:space="preserve">Health Professions</t>
  </si>
  <si>
    <t xml:space="preserve">Neuroscience</t>
  </si>
  <si>
    <t xml:space="preserve">Materials Science</t>
  </si>
  <si>
    <t xml:space="preserve">Earth and Planetary Sciences</t>
  </si>
  <si>
    <t xml:space="preserve">Chemical Engineering</t>
  </si>
  <si>
    <t xml:space="preserve">Immunology and Microbiology</t>
  </si>
  <si>
    <t xml:space="preserve">Energy</t>
  </si>
  <si>
    <t xml:space="preserve">Chemistry</t>
  </si>
  <si>
    <t xml:space="preserve">Dentistry</t>
  </si>
  <si>
    <t xml:space="preserve">Pharmacology, Toxicology and Pharmaceutics</t>
  </si>
  <si>
    <t xml:space="preserve">Nursing</t>
  </si>
  <si>
    <t xml:space="preserve">Veterinary</t>
  </si>
  <si>
    <t xml:space="preserve">total</t>
  </si>
  <si>
    <t xml:space="preserve">set</t>
  </si>
  <si>
    <t xml:space="preserve">field (primary topic)</t>
  </si>
  <si>
    <t xml:space="preserve">subfield</t>
  </si>
  <si>
    <t xml:space="preserve">primary topic</t>
  </si>
  <si>
    <t xml:space="preserve">Communication</t>
  </si>
  <si>
    <t xml:space="preserve">Social Media and Politics</t>
  </si>
  <si>
    <t xml:space="preserve">Sociology and Political Science</t>
  </si>
  <si>
    <t xml:space="preserve">Misinformation and Its Impacts</t>
  </si>
  <si>
    <t xml:space="preserve">Finance</t>
  </si>
  <si>
    <t xml:space="preserve">Financial Markets and Investment Strategies</t>
  </si>
  <si>
    <t xml:space="preserve">Financial Risk and Volatility Modeling</t>
  </si>
  <si>
    <t xml:space="preserve">Stochastic processes and financial applications</t>
  </si>
  <si>
    <t xml:space="preserve">Artificial Intelligence</t>
  </si>
  <si>
    <t xml:space="preserve">Bayesian Modeling and Causal Inference</t>
  </si>
  <si>
    <t xml:space="preserve">Information Systems</t>
  </si>
  <si>
    <t xml:space="preserve">Recommender Systems and Techniques</t>
  </si>
  <si>
    <t xml:space="preserve">Statistical and Nonlinear Physics</t>
  </si>
  <si>
    <t xml:space="preserve">Complex Network Analysis Techniques</t>
  </si>
  <si>
    <t xml:space="preserve">Opinion Dynamics and Social Influence</t>
  </si>
  <si>
    <t xml:space="preserve">Management Science and Operations Research</t>
  </si>
  <si>
    <t xml:space="preserve">Stock Market Forecasting Methods</t>
  </si>
  <si>
    <t xml:space="preserve">Political Science and International Relations</t>
  </si>
  <si>
    <t xml:space="preserve">Cybersecurity and Cyber Warfare Studies</t>
  </si>
  <si>
    <t xml:space="preserve">Safety Research</t>
  </si>
  <si>
    <t xml:space="preserve">Ethics and Social Impacts of AI</t>
  </si>
  <si>
    <t xml:space="preserve">Impact of Technology on Adolescents</t>
  </si>
  <si>
    <t xml:space="preserve">Spam and Phishing Detection</t>
  </si>
  <si>
    <t xml:space="preserve">Hate Speech and Cyberbullying Detection</t>
  </si>
  <si>
    <t xml:space="preserve">Studies per field (formulas)</t>
  </si>
  <si>
    <t xml:space="preserve">field</t>
  </si>
  <si>
    <t xml:space="preserve">OpenAlex field, subfield and topic of each study's primary topic, read with show_fields.py on 20 October 2026 (assigned automatically by OpenAlex). The subject-field restriction keeps the fields of the development studies; every indexed validation study falls in one of them.</t>
  </si>
  <si>
    <t xml:space="preserve">old</t>
  </si>
  <si>
    <t xml:space="preserve">new</t>
  </si>
  <si>
    <t xml:space="preserve">reason</t>
  </si>
  <si>
    <t xml:space="preserve">10.1016/j.procs.2022.09.374</t>
  </si>
  <si>
    <t xml:space="preserve">DOI resolved to another article (A reverse personnel assignment method ...)</t>
  </si>
  <si>
    <t xml:space="preserve">OpenAlex/Crossref check, verify_corpus.py run 2026-10-19</t>
  </si>
  <si>
    <t xml:space="preserve">10.1016/j.ins.2020.01.016</t>
  </si>
  <si>
    <t xml:space="preserve">DOI resolved to another article (Recognizing novel patterns via adversarial learning ...)</t>
  </si>
  <si>
    <t xml:space="preserve">10.1109/ACCESS.2021.3128879</t>
  </si>
  <si>
    <t xml:space="preserve">DOI resolved to another article (Incremental Attribute Reduction ...)</t>
  </si>
  <si>
    <t xml:space="preserve">10.1257/000282803321455214</t>
  </si>
  <si>
    <t xml:space="preserve">DOI resolved to another article (Gravity with Gravitas ...)</t>
  </si>
  <si>
    <t xml:space="preserve">10.1093/rof/rfad010</t>
  </si>
  <si>
    <t xml:space="preserve">DOI resolved to another article (Income, Liquidity, and the Consumption Response ...)</t>
  </si>
  <si>
    <t xml:space="preserve">10.1007/s11245-021-09797-0</t>
  </si>
  <si>
    <t xml:space="preserve">DOI not registered in Crossref; DOI of the matching OpenAlex record</t>
  </si>
  <si>
    <t xml:space="preserve">10.1038/s41598-023-45671-z</t>
  </si>
  <si>
    <t xml:space="preserve">10.1007/s12144-023-04628-2</t>
  </si>
  <si>
    <t xml:space="preserve">10.1038/s41586-024-07328-2</t>
  </si>
  <si>
    <t xml:space="preserve">10.1007/s41060-024-00679-}</t>
  </si>
  <si>
    <t xml:space="preserve">10.1007/s41060-024-00679-7}</t>
  </si>
  <si>
    <t xml:space="preserve">DOI truncated (last character missing)</t>
  </si>
  <si>
    <t xml:space="preserve">year={2022},</t>
  </si>
  <si>
    <t xml:space="preserve">year={2022},
  doi={10.1016/j.econlet.2022.110598},</t>
  </si>
  <si>
    <t xml:space="preserve">DOI missing</t>
  </si>
  <si>
    <t xml:space="preserve">Full text of the article (Economics Letters 216, 110598)</t>
  </si>
  <si>
    <t xml:space="preserve">isbn      = {9780691043012},
  doi={10.1017/S1365100598009092}</t>
  </si>
  <si>
    <t xml:space="preserve">isbn      = {9780691043012}</t>
  </si>
  <si>
    <t xml:space="preserve">DOI belongs to a 1998 item in Macroeconomic Dynamics about the book, not to the book; ISBN kept</t>
  </si>
  <si>
    <t xml:space="preserve">year/volume</t>
  </si>
  <si>
    <t xml:space="preserve">pages={100375},
  year={2025},</t>
  </si>
  <si>
    <t xml:space="preserve">volume={7},
  pages={100375},
  year={2026},</t>
  </si>
  <si>
    <t xml:space="preserve">Published in volume 7 (2026); online 2025</t>
  </si>
  <si>
    <t xml:space="preserve">Full text of the article (Blockchain: Research and Applications 7 (2026) 100375)</t>
  </si>
  <si>
    <t xml:space="preserve">title/author</t>
  </si>
  <si>
    <t xml:space="preserve">title={How social-network attention and sentiment of investors affect commodity futures market returns: New evidence from {China}},</t>
  </si>
  <si>
    <t xml:space="preserve">title={News vs. Social Media: Sentiment Impact on Stock Performance of Big {Tech} Companies},
  author={Kim-Hahm, Hyunsun and Abou-Zaid, Ahmed S. and Mohd, Abidalrahman},</t>
  </si>
  <si>
    <t xml:space="preserve">Title was copied from liu2023social and authors were missing</t>
  </si>
  <si>
    <t xml:space="preserve">DOI record 10.3390/jrfm18120660 (OpenAlex, Crossref, ResearchGate)</t>
  </si>
  <si>
    <t xml:space="preserve">author</t>
  </si>
  <si>
    <t xml:space="preserve">Shamseer, Larissa andCharacteristicTetzlaff, Jennifer M</t>
  </si>
  <si>
    <t xml:space="preserve">Shamseer, Larissa and Tetzlaff, Jennifer M</t>
  </si>
  <si>
    <t xml:space="preserve">Corrupted author field (merged names)</t>
  </si>
  <si>
    <t xml:space="preserve">Manual correction</t>
  </si>
  <si>
    <t xml:space="preserve">Journal of Artifical Societies and Social Simulation (JASSS) vol</t>
  </si>
  <si>
    <t xml:space="preserve">Typo in journal name</t>
  </si>
  <si>
    <t xml:space="preserve">url</t>
  </si>
  <si>
    <t xml:space="preserve">{ttps://</t>
  </si>
  <si>
    <t xml:space="preserve">{https://</t>
  </si>
  <si>
    <t xml:space="preserve">Malformed URL</t>
  </si>
  <si>
    <t xml:space="preserve">new entry</t>
  </si>
  <si>
    <t xml:space="preserve">@article{hausner2012routine,
  title={Routine development of objectively derived search strategies},
  author={Hausner, Elke and Waffenschmidt, Siw and Kaiser, Thomas and Simon, Michael},
  journal={Systematic Reviews},
  volume={1},
  number={1},
  pages={19},
  year={2012},
  doi={10.1186/2046-4053-1-19}
}</t>
  </si>
  <si>
    <t xml:space="preserve">Method reference for the validated verification search (subsection Reproducibility of the Review)</t>
  </si>
  <si>
    <t xml:space="preserve">Systematic Reviews 1:19 (2012); record checked on the University of Southampton repository (eprints.soton.ac.uk/301322)</t>
  </si>
  <si>
    <t xml:space="preserve">decision</t>
  </si>
  <si>
    <t xml:space="preserve">rationale</t>
  </si>
  <si>
    <t xml:space="preserve">2026-10-18</t>
  </si>
  <si>
    <t xml:space="preserve">Register compiled from the final manuscript and surveybib.bib</t>
  </si>
  <si>
    <t xml:space="preserve">Each included work linked to its PRISMA category, section and methodological class.</t>
  </si>
  <si>
    <t xml:space="preserve">Corpus membership defined by the PRISMA category boxes</t>
  </si>
  <si>
    <t xml:space="preserve">A cited work belongs to the corpus if it is analysed in one of the sections counted in the PRISMA diagram (3.2-3.4, 3.6, 4.1.1, 4.1.2, 4.2, 4.2.1). Works cited only in Sections 1-2 (19) are listed on not_in_corpus.</t>
  </si>
  <si>
    <t xml:space="preserve">de2026transformer removed from Class 2 (text and Table C2)</t>
  </si>
  <si>
    <t xml:space="preserve">Not counted in the PRISMA diagram (Class 2, n = 8); it reviews text generation rather than manipulation detection.</t>
  </si>
  <si>
    <t xml:space="preserve">tong2022assessing, seetharam2024headlines, ghazouani2025virtual restored to Section 4.2.1</t>
  </si>
  <si>
    <t xml:space="preserve">Counted in the PRISMA diagram (Causal Identification, n = 19) but their citations had been lost from the text during revision. Confirmed by the author; descriptions checked against full texts (seetharam, ghazouani) and abstract (tong).</t>
  </si>
  <si>
    <t xml:space="preserve">wang2022causal restored to Section 4.2</t>
  </si>
  <si>
    <t xml:space="preserve">Counted in the PRISMA diagram (Cross-Domain Challenges, n = 6) but its citation had been lost from the text. Confirmed by the author; description checked against the full text.</t>
  </si>
  <si>
    <t xml:space="preserve">Overlapping studies counted once</t>
  </si>
  <si>
    <t xml:space="preserve">Each study is counted in the first PRISMA category where it is analysed; later appearances are recorded in xref_to, reproducing the overlaps shown in the diagram.</t>
  </si>
  <si>
    <t xml:space="preserve">CORPUS: 126 studies; all PRISMA category counts and the publication-type composition reproduced</t>
  </si>
  <si>
    <t xml:space="preserve">See PRISMA_check and Counts.</t>
  </si>
  <si>
    <t xml:space="preserve">Metadata of all 126 studies checked against OpenAlex, and their DOIs against Crossref</t>
  </si>
  <si>
    <t xml:space="preserve">verify_corpus.py; 122 of 126 studies indexed in OpenAlex (not indexed: musch2003psychology, cayuela2025influence, kumarsocial; for campbell1997econometrics only a journal item about the book).</t>
  </si>
  <si>
    <t xml:space="preserve">17 corrections applied to surveybib.bib (surveybib_corrected.bib), including 10 DOIs</t>
  </si>
  <si>
    <t xml:space="preserve">Five DOIs resolved to other articles, four were not registered in Crossref, one was truncated; see bib_corrections.</t>
  </si>
  <si>
    <t xml:space="preserve">Validated verification search: protocol fixed before any OpenAlex count (val/PROTOCOL.md, MANIFEST.txt)</t>
  </si>
  <si>
    <t xml:space="preserve">Objective approach (Hausner et al. 2012): stratified random split (seed 20261019) into development (44) and validation (38) sets; terms from development titles (&gt;= 2 titles) and Table 2 keywords; specificity by over-representation relative to OpenAlex; threshold chosen on the development set; one frozen title query run once.</t>
  </si>
  <si>
    <t xml:space="preserve">Validated search, result: R = 100, 27 terms, 528,412 records; validation 29/38 (76.3%, 95% CI 60.8-87.0%), 29/36 indexed (80.6%, 95% CI 65.0-90.2%); development 42/44 (95.5%)</t>
  </si>
  <si>
    <t xml:space="preserve">Reported as obtained. The query is broad because the corpus spans three domains; the validation studies not retrieved use none of the core terms in their titles (fact-checkers, checkworthiness, emotion, tweets, NFT promotion scams) or, for bradley2024place, were not returned by OpenAlex despite "Reddit" in the title.</t>
  </si>
  <si>
    <t xml:space="preserve">Deviation from the protocol (technical): matching step re-executed (run_step3.py)</t>
  </si>
  <si>
    <t xml:space="preserve">In the first execution the register file used had no OpenAlex identifiers, so no included study could be matched (0 of 82, all reported as not indexed). The matching was re-executed with the same frozen query (SHA-256 checked) and the identifiers of this register; terms, threshold and query unchanged.</t>
  </si>
  <si>
    <t xml:space="preserve">After review: the OpenAlex check is reported as a supplementary, retrospective retrievability check</t>
  </si>
  <si>
    <t xml:space="preserve">It tests whether the included studies can be retrieved by a query not tailored to them; it does not reproduce the original search and does not estimate its sensitivity. The query is broad (528,412 records).</t>
  </si>
  <si>
    <t xml:space="preserve">Register synchronised with the revised manuscript (citation inventory regenerated; cited_in columns updated)</t>
  </si>
  <si>
    <t xml:space="preserve">The revised manuscript cites 146 keys: the 126 corpus studies (including the four restored citations) and the 20 works on not_in_corpus; de2026transformer is no longer cited. All keys are in surveybib_corrected.bib. The OpenAlex check is named a retrospective known-item retrieval check.</t>
  </si>
  <si>
    <t xml:space="preserve">Sheet class_definitions added</t>
  </si>
  <si>
    <t xml:space="preserve">Definitions of the methodological classes C1-C6 and F1-F5 quoted from the manuscript (Sections 3.4 and 3.6), with the assignment procedure of Section 2.2 and the number of studies per class (84 in total).</t>
  </si>
  <si>
    <t xml:space="preserve">hausner2012routine added to the bibliographic database and to not_in_corpus</t>
  </si>
  <si>
    <t xml:space="preserve">Method reference cited in the new subsection Reproducibility of the Review; logged as a new entry on bib_corrections. not_in_corpus now lists 20 works.</t>
  </si>
  <si>
    <t xml:space="preserve">Table 2 of the manuscript (search concepts and record counts of the primary search) left unchanged</t>
  </si>
  <si>
    <t xml:space="preserve">Table 2 documents the search that produced the 4,579 records of the PRISMA diagram; the validated verification search was run later, in OpenAlex, and is reported separately (make_validation_table.py).</t>
  </si>
  <si>
    <t xml:space="preserve">Records of the version-1 query counted by language and by year (descriptive)</t>
  </si>
  <si>
    <t xml:space="preserve">Tagged as English 427,734 and not tagged as English 100,678 of 528,412; dated 2020: 64,716 (sheet validation_result). The run itself is unchanged.</t>
  </si>
  <si>
    <t xml:space="preserve">Protocol version 2 written after the version-1 result (PROTOCOL_v2.md, MANIFEST_v2.txt): language:en and a specificity cap K; variants B (K = 50,000) and D (K = 10,000) frozen and run once</t>
  </si>
  <si>
    <t xml:space="preserve">B: 297,641 records, validation 24/38 (63.2%, 95% CI 47.3-76.6%); D: 49,580 records, validation 12/38 (31.6%, 95% CI 19.1-47.5%). Narrowing the query reduced the records but also the retrieved studies.</t>
  </si>
  <si>
    <t xml:space="preserve">Variant A added by the author after B and D were run (addendum of PROTOCOL_v2.md): version-1 query unchanged plus language:en only</t>
  </si>
  <si>
    <t xml:space="preserve">Run once (run_v2A.py; the version-1 query is checked against its SHA-256): 427,734 records; development 42/44; validation 27/38 (71.1%, 95% CI 55.2-83.0%), 27/36 indexed (75.0%, 95% CI 58.9-86.2%). Lost compared with version 1: cui2025toward and goldsmith2025causal, to which OpenAlex assigns no language.</t>
  </si>
  <si>
    <t xml:space="preserve">Reporting in the manuscript (Reproducibility of the Review)</t>
  </si>
  <si>
    <t xml:space="preserve">Version 1 is reported as the pre-specified result; the English restriction (variant A) and the phrase-based variants (B, D) are reported as later restrictions, with their records and retrieved studies.</t>
  </si>
  <si>
    <t xml:space="preserve">Variant E added by the author after A was run (addendum 2 of PROTOCOL_v2.md): variant A plus a filter on the OpenAlex fields of the primary topic, keeping every field of at least one development study</t>
  </si>
  <si>
    <t xml:space="preserve">The version-1 query searches all subject areas (e.g. chemistry, medicine). Fields kept: Social Sciences, Economics/Econometrics/Finance, Computer Science, Physics and Astronomy, Decision Sciences. Run once (run_v2E.py): 247,876 records (variant A: 427,734); development 42/44; validation 27/38 (71.1%, 95% CI 55.2-83.0%), the same studies as variant A. The field filter removed 179,858 records (42.0%) and none of the included studies retrieved by variant A.</t>
  </si>
  <si>
    <t xml:space="preserve">Reporting in the manuscript updated</t>
  </si>
  <si>
    <t xml:space="preserve">Reproducibility of the Review reports version 1 (pre-specified), the English restriction and the field restriction (records 427,734 and 247,876, both 27/38), and the phrase-based variants B and D (24/38, 12/38).</t>
  </si>
  <si>
    <t xml:space="preserve">Primary topics of the 82 studies read from OpenAlex (show_fields.py; sheet openalex_fields)</t>
  </si>
  <si>
    <t xml:space="preserve">Development set: Social Sciences 23, Economics/Econometrics/Finance 15, Computer Science 3, Physics and Astronomy 2 (ge2024novel: Complex Network Analysis Techniques; zhang4450056integrated: Opinion Dynamics and Social Influence), Decision Sciences 1. Validation set: Social Sciences 21, Economics/Econometrics/Finance 9, Computer Science 4, Physics and Astronomy 1, Decision Sciences 1, not indexed 2. All indexed validation studies fall in the five fields kept; no difference from the fields recorded in the variant-E run.</t>
  </si>
  <si>
    <t xml:space="preserve">One protocol (PROTOCOL.md; sheet search_protocol) replaces the dated protocol documents as the description of the check</t>
  </si>
  <si>
    <t xml:space="preserve">It combines the rules fixed on 19 October 2026 with the language and field filters added on 20 October 2026 (variant E), and records when each rule was fixed. The reported result is that of the final query (variant E): 247,876 records; validation 27/38. The first run and the rejected variants are on protocol_history; the dated documents remain in the repository (history/).</t>
  </si>
  <si>
    <t xml:space="preserve">Language filter dropped; final query = term query with the date, document-type and subject-field filters (PROTOCOL.md, hashed in MANIFEST_final.txt before the run)</t>
  </si>
  <si>
    <t xml:space="preserve">The language filter removes works without an assigned language, including two included studies. Run once (run_final.py): 311,556 records (term query on the same day: 528,902); not tagged as English 63,578; development 42/44; validation 29/38 (76.3%, 95% CI 60.8-87.0%), the same studies as the first run. Supersedes the previous entry.</t>
  </si>
  <si>
    <t xml:space="preserve">Reporting revised after methodological review: reference query = reported result; field restriction = post-hoc sensitivity analysis</t>
  </si>
  <si>
    <t xml:space="preserve">The field-restricted query was specified after the validation results and the fields of the validation studies were known, so it is not an independent validation. The reference query (rules fixed before execution; 29/38; 528,412 records) remains the independently evaluated result. PROTOCOL.md revised editorially (known-item statement; "Retrieval restrictions"; "Term enrichment and threshold selection"; SHA-256 note; one run per configuration; 7 indexed-not-retrieved vs 2 not indexed). No rule, query or result changed. Data column renamed retrieved_by_reference_query (all 82 studies).</t>
  </si>
  <si>
    <t xml:space="preserve">Author's decision: the latest run is the reported result</t>
  </si>
  <si>
    <t xml:space="preserve">Reported result: final query (term query with date, document-type and subject-field restrictions; no language restriction): 311,556 records; validation 29/38. The manuscript, the table and this register state that the subject-field restriction was chosen after the fields of the validation studies were inspected and is not independently validated. The final configuration is used for the reported filtered retrieval result, while the original pre-specified configuration and all intermediate runs are retained as part of the methodological audit trail. They are documented on protocol_history and in the repository (history/). Replaces the reporting described in the previous entry. Data column: retrieved_by_final_query (validation set).</t>
  </si>
  <si>
    <t xml:space="preserve">Additional descriptive count: records of the final query by OpenAlex source type and work type (count_by_source_type.py); nothing filtered, protocol and result unchanged</t>
  </si>
  <si>
    <t xml:space="preserve">Journal 175,350 (56.3%), repository 54,218, unknown 27,451, conference 25,301, book series 14,660, ebook platform 14,576. A journal-only restriction was considered and not applied: it would lose four retrieved validation studies (cui2025toward, huang2025hybrid without a source; fan2024measuring, goldsmith2025causal in a repository; validation 25/38) and contradict the eligibility criteria (conference papers and preprints are admitted). Ineligible work types not excluded by the document-type restriction account for 5,342 records (1.7%).</t>
  </si>
</sst>
</file>

<file path=xl/styles.xml><?xml version="1.0" encoding="utf-8"?>
<styleSheet xmlns="http://schemas.openxmlformats.org/spreadsheetml/2006/main">
  <numFmts count="3">
    <numFmt numFmtId="164" formatCode="General"/>
    <numFmt numFmtId="165" formatCode="#,##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9"/>
      <name val="Arial"/>
      <family val="0"/>
      <charset val="1"/>
    </font>
    <font>
      <b val="true"/>
      <sz val="9"/>
      <name val="Arial"/>
      <family val="0"/>
      <charset val="1"/>
    </font>
    <font>
      <b val="true"/>
      <sz val="10"/>
      <color rgb="FFFFFFFF"/>
      <name val="Arial"/>
      <family val="0"/>
      <charset val="1"/>
    </font>
    <font>
      <sz val="11"/>
      <color theme="1"/>
      <name val="Arial"/>
      <family val="0"/>
      <charset val="1"/>
    </font>
    <font>
      <i val="true"/>
      <sz val="9"/>
      <name val="Arial"/>
      <family val="0"/>
      <charset val="1"/>
    </font>
    <font>
      <sz val="9"/>
      <color rgb="FF0000FF"/>
      <name val="Arial"/>
      <family val="0"/>
      <charset val="1"/>
    </font>
  </fonts>
  <fills count="3">
    <fill>
      <patternFill patternType="none"/>
    </fill>
    <fill>
      <patternFill patternType="gray125"/>
    </fill>
    <fill>
      <patternFill patternType="solid">
        <fgColor rgb="FF44546A"/>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44546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5" hidden="false" customHeight="true" outlineLevel="0" collapsed="false">
      <c r="A1" s="1" t="s">
        <v>0</v>
      </c>
    </row>
    <row r="2" customFormat="false" ht="15" hidden="false" customHeight="true" outlineLevel="0" collapsed="false">
      <c r="A2" s="2" t="s">
        <v>1</v>
      </c>
    </row>
    <row r="3" customFormat="false" ht="15" hidden="false" customHeight="true" outlineLevel="0" collapsed="false">
      <c r="A3" s="2"/>
    </row>
    <row r="4" customFormat="false" ht="15" hidden="false" customHeight="true" outlineLevel="0" collapsed="false">
      <c r="A4" s="3" t="s">
        <v>2</v>
      </c>
    </row>
    <row r="5" customFormat="false" ht="25.5" hidden="false" customHeight="true" outlineLevel="0" collapsed="false">
      <c r="A5" s="2" t="s">
        <v>3</v>
      </c>
    </row>
    <row r="6" customFormat="false" ht="39" hidden="false" customHeight="true" outlineLevel="0" collapsed="false">
      <c r="A6" s="2" t="s">
        <v>4</v>
      </c>
    </row>
    <row r="7" customFormat="false" ht="15" hidden="false" customHeight="true" outlineLevel="0" collapsed="false">
      <c r="A7" s="2"/>
    </row>
    <row r="8" customFormat="false" ht="15" hidden="false" customHeight="true" outlineLevel="0" collapsed="false">
      <c r="A8" s="3" t="s">
        <v>5</v>
      </c>
    </row>
    <row r="9" customFormat="false" ht="39" hidden="false" customHeight="true" outlineLevel="0" collapsed="false">
      <c r="A9" s="2" t="s">
        <v>6</v>
      </c>
    </row>
    <row r="10" customFormat="false" ht="15" hidden="false" customHeight="true" outlineLevel="0" collapsed="false">
      <c r="A10" s="2"/>
    </row>
    <row r="11" customFormat="false" ht="15" hidden="false" customHeight="true" outlineLevel="0" collapsed="false">
      <c r="A11" s="3" t="s">
        <v>7</v>
      </c>
    </row>
    <row r="12" customFormat="false" ht="25.5" hidden="false" customHeight="true" outlineLevel="0" collapsed="false">
      <c r="A12" s="2" t="s">
        <v>8</v>
      </c>
    </row>
    <row r="13" customFormat="false" ht="15" hidden="false" customHeight="true" outlineLevel="0" collapsed="false">
      <c r="A13" s="2"/>
    </row>
    <row r="14" customFormat="false" ht="25.5" hidden="false" customHeight="true" outlineLevel="0" collapsed="false">
      <c r="A14" s="3" t="s">
        <v>9</v>
      </c>
    </row>
    <row r="15" customFormat="false" ht="78" hidden="false" customHeight="true" outlineLevel="0" collapsed="false">
      <c r="A15" s="2" t="s">
        <v>10</v>
      </c>
    </row>
    <row r="16" customFormat="false" ht="103.5" hidden="false" customHeight="true" outlineLevel="0" collapsed="false">
      <c r="A16" s="2" t="s">
        <v>11</v>
      </c>
    </row>
    <row r="17" customFormat="false" ht="15" hidden="false" customHeight="true" outlineLevel="0" collapsed="false">
      <c r="A17" s="2"/>
    </row>
    <row r="18" customFormat="false" ht="15" hidden="false" customHeight="true" outlineLevel="0" collapsed="false">
      <c r="A18" s="3" t="s">
        <v>12</v>
      </c>
    </row>
    <row r="19" customFormat="false" ht="117" hidden="false" customHeight="true" outlineLevel="0" collapsed="false">
      <c r="A19"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34"/>
    <col collapsed="false" customWidth="true" hidden="false" outlineLevel="0" max="4" min="4" style="0" width="6"/>
    <col collapsed="false" customWidth="true" hidden="false" outlineLevel="0" max="5" min="5" style="0" width="50"/>
    <col collapsed="false" customWidth="true" hidden="false" outlineLevel="0" max="6" min="6" style="0" width="30"/>
    <col collapsed="false" customWidth="true" hidden="false" outlineLevel="0" max="7" min="7" style="0" width="16"/>
    <col collapsed="false" customWidth="true" hidden="false" outlineLevel="0" max="8" min="8" style="0" width="26"/>
    <col collapsed="false" customWidth="true" hidden="false" outlineLevel="0" max="9" min="9" style="0" width="22"/>
    <col collapsed="false" customWidth="true" hidden="false" outlineLevel="0" max="10" min="10" style="0" width="34"/>
    <col collapsed="false" customWidth="true" hidden="false" outlineLevel="0" max="11" min="11" style="0" width="20"/>
    <col collapsed="false" customWidth="true" hidden="false" outlineLevel="0" max="12" min="12" style="0" width="7"/>
    <col collapsed="false" customWidth="true" hidden="false" outlineLevel="0" max="13" min="13" style="0" width="34"/>
    <col collapsed="false" customWidth="true" hidden="false" outlineLevel="0" max="14" min="14" style="0" width="7"/>
    <col collapsed="false" customWidth="true" hidden="false" outlineLevel="0" max="15" min="15" style="0" width="9"/>
    <col collapsed="false" customWidth="true" hidden="false" outlineLevel="0" max="16" min="16" style="0" width="40"/>
    <col collapsed="false" customWidth="true" hidden="false" outlineLevel="0" max="17" min="17" style="0" width="11"/>
    <col collapsed="false" customWidth="true" hidden="false" outlineLevel="0" max="18" min="18" style="0" width="16"/>
    <col collapsed="false" customWidth="true" hidden="false" outlineLevel="0" max="19" min="19" style="0" width="34"/>
    <col collapsed="false" customWidth="true" hidden="false" outlineLevel="0" max="20" min="20" style="0" width="40"/>
    <col collapsed="false" customWidth="true" hidden="false" outlineLevel="0" max="21" min="21" style="0" width="13"/>
    <col collapsed="false" customWidth="true" hidden="false" outlineLevel="0" max="22" min="22" style="0" width="9"/>
    <col collapsed="false" customWidth="true" hidden="false" outlineLevel="0" max="23" min="23" style="0" width="12"/>
    <col collapsed="false" customWidth="true" hidden="false" outlineLevel="0" max="24" min="24" style="0" width="14"/>
  </cols>
  <sheetData>
    <row r="1" customFormat="false" ht="46.25" hidden="false" customHeight="false" outlineLevel="0" collapsed="false">
      <c r="A1" s="4" t="s">
        <v>14</v>
      </c>
      <c r="B1" s="4" t="s">
        <v>15</v>
      </c>
      <c r="C1" s="4" t="s">
        <v>16</v>
      </c>
      <c r="D1" s="4" t="s">
        <v>17</v>
      </c>
      <c r="E1" s="4" t="s">
        <v>18</v>
      </c>
      <c r="F1" s="4" t="s">
        <v>19</v>
      </c>
      <c r="G1" s="4" t="s">
        <v>20</v>
      </c>
      <c r="H1" s="4" t="s">
        <v>21</v>
      </c>
      <c r="I1" s="4" t="s">
        <v>22</v>
      </c>
      <c r="J1" s="4" t="s">
        <v>23</v>
      </c>
      <c r="K1" s="4" t="s">
        <v>24</v>
      </c>
      <c r="L1" s="4" t="s">
        <v>25</v>
      </c>
      <c r="M1" s="4" t="s">
        <v>26</v>
      </c>
      <c r="N1" s="4" t="s">
        <v>27</v>
      </c>
      <c r="O1" s="4" t="s">
        <v>28</v>
      </c>
      <c r="P1" s="4" t="s">
        <v>29</v>
      </c>
      <c r="Q1" s="4" t="s">
        <v>30</v>
      </c>
      <c r="R1" s="4" t="s">
        <v>31</v>
      </c>
      <c r="S1" s="4" t="s">
        <v>32</v>
      </c>
      <c r="T1" s="4" t="s">
        <v>33</v>
      </c>
      <c r="U1" s="4" t="s">
        <v>34</v>
      </c>
      <c r="V1" s="4" t="s">
        <v>35</v>
      </c>
      <c r="W1" s="4" t="s">
        <v>36</v>
      </c>
      <c r="X1" s="4" t="s">
        <v>37</v>
      </c>
    </row>
    <row r="2" customFormat="false" ht="22.35" hidden="false" customHeight="false" outlineLevel="0" collapsed="false">
      <c r="A2" s="5" t="s">
        <v>38</v>
      </c>
      <c r="B2" s="5" t="s">
        <v>39</v>
      </c>
      <c r="C2" s="5" t="s">
        <v>40</v>
      </c>
      <c r="D2" s="5" t="n">
        <v>2007</v>
      </c>
      <c r="E2" s="5" t="s">
        <v>41</v>
      </c>
      <c r="F2" s="5" t="s">
        <v>42</v>
      </c>
      <c r="G2" s="5" t="s">
        <v>43</v>
      </c>
      <c r="H2" s="5"/>
      <c r="I2" s="5" t="s">
        <v>44</v>
      </c>
      <c r="J2" s="5" t="s">
        <v>45</v>
      </c>
      <c r="K2" s="5"/>
      <c r="L2" s="5" t="s">
        <v>46</v>
      </c>
      <c r="M2" s="5" t="s">
        <v>47</v>
      </c>
      <c r="N2" s="5"/>
      <c r="O2" s="5"/>
      <c r="P2" s="5" t="s">
        <v>48</v>
      </c>
      <c r="Q2" s="5" t="s">
        <v>49</v>
      </c>
      <c r="R2" s="5"/>
      <c r="S2" s="5" t="s">
        <v>50</v>
      </c>
      <c r="T2" s="5"/>
      <c r="U2" s="5" t="s">
        <v>51</v>
      </c>
      <c r="V2" s="5" t="s">
        <v>52</v>
      </c>
      <c r="W2" s="5"/>
      <c r="X2" s="5"/>
    </row>
    <row r="3" customFormat="false" ht="22.35" hidden="false" customHeight="false" outlineLevel="0" collapsed="false">
      <c r="A3" s="5" t="s">
        <v>53</v>
      </c>
      <c r="B3" s="5" t="s">
        <v>54</v>
      </c>
      <c r="C3" s="5" t="s">
        <v>55</v>
      </c>
      <c r="D3" s="5" t="n">
        <v>2003</v>
      </c>
      <c r="E3" s="5" t="s">
        <v>56</v>
      </c>
      <c r="F3" s="5" t="s">
        <v>57</v>
      </c>
      <c r="G3" s="5" t="s">
        <v>43</v>
      </c>
      <c r="H3" s="5"/>
      <c r="I3" s="5" t="s">
        <v>44</v>
      </c>
      <c r="J3" s="5" t="s">
        <v>45</v>
      </c>
      <c r="K3" s="5"/>
      <c r="L3" s="5" t="s">
        <v>46</v>
      </c>
      <c r="M3" s="5" t="s">
        <v>47</v>
      </c>
      <c r="N3" s="5"/>
      <c r="O3" s="5"/>
      <c r="P3" s="5" t="s">
        <v>48</v>
      </c>
      <c r="Q3" s="5" t="s">
        <v>49</v>
      </c>
      <c r="R3" s="5"/>
      <c r="S3" s="5" t="s">
        <v>58</v>
      </c>
      <c r="T3" s="5"/>
      <c r="U3" s="5"/>
      <c r="V3" s="5" t="s">
        <v>52</v>
      </c>
      <c r="W3" s="5"/>
      <c r="X3" s="5"/>
    </row>
    <row r="4" customFormat="false" ht="22.35" hidden="false" customHeight="false" outlineLevel="0" collapsed="false">
      <c r="A4" s="5" t="s">
        <v>59</v>
      </c>
      <c r="B4" s="5" t="s">
        <v>60</v>
      </c>
      <c r="C4" s="5" t="s">
        <v>61</v>
      </c>
      <c r="D4" s="5" t="n">
        <v>2023</v>
      </c>
      <c r="E4" s="5" t="s">
        <v>62</v>
      </c>
      <c r="F4" s="5" t="s">
        <v>63</v>
      </c>
      <c r="G4" s="5" t="s">
        <v>64</v>
      </c>
      <c r="H4" s="5" t="s">
        <v>65</v>
      </c>
      <c r="I4" s="5" t="s">
        <v>44</v>
      </c>
      <c r="J4" s="5" t="s">
        <v>45</v>
      </c>
      <c r="K4" s="5"/>
      <c r="L4" s="5" t="s">
        <v>46</v>
      </c>
      <c r="M4" s="5" t="s">
        <v>47</v>
      </c>
      <c r="N4" s="5"/>
      <c r="O4" s="5"/>
      <c r="P4" s="5" t="s">
        <v>48</v>
      </c>
      <c r="Q4" s="5" t="s">
        <v>49</v>
      </c>
      <c r="R4" s="5"/>
      <c r="S4" s="5" t="s">
        <v>66</v>
      </c>
      <c r="T4" s="5"/>
      <c r="U4" s="5" t="s">
        <v>67</v>
      </c>
      <c r="V4" s="5" t="s">
        <v>68</v>
      </c>
      <c r="W4" s="5" t="s">
        <v>69</v>
      </c>
      <c r="X4" s="5"/>
    </row>
    <row r="5" customFormat="false" ht="22.35" hidden="false" customHeight="false" outlineLevel="0" collapsed="false">
      <c r="A5" s="5" t="s">
        <v>70</v>
      </c>
      <c r="B5" s="5" t="s">
        <v>71</v>
      </c>
      <c r="C5" s="5" t="s">
        <v>72</v>
      </c>
      <c r="D5" s="5" t="n">
        <v>1974</v>
      </c>
      <c r="E5" s="5" t="s">
        <v>73</v>
      </c>
      <c r="F5" s="5" t="s">
        <v>74</v>
      </c>
      <c r="G5" s="5" t="s">
        <v>75</v>
      </c>
      <c r="H5" s="5" t="s">
        <v>76</v>
      </c>
      <c r="I5" s="5" t="s">
        <v>44</v>
      </c>
      <c r="J5" s="5" t="s">
        <v>45</v>
      </c>
      <c r="K5" s="5"/>
      <c r="L5" s="5" t="s">
        <v>46</v>
      </c>
      <c r="M5" s="5" t="s">
        <v>47</v>
      </c>
      <c r="N5" s="5"/>
      <c r="O5" s="5"/>
      <c r="P5" s="5" t="s">
        <v>48</v>
      </c>
      <c r="Q5" s="5" t="s">
        <v>49</v>
      </c>
      <c r="R5" s="5"/>
      <c r="S5" s="5" t="s">
        <v>77</v>
      </c>
      <c r="T5" s="5"/>
      <c r="U5" s="5" t="s">
        <v>78</v>
      </c>
      <c r="V5" s="5" t="s">
        <v>52</v>
      </c>
      <c r="W5" s="5"/>
      <c r="X5" s="5"/>
    </row>
    <row r="6" customFormat="false" ht="22.35" hidden="false" customHeight="false" outlineLevel="0" collapsed="false">
      <c r="A6" s="5" t="s">
        <v>79</v>
      </c>
      <c r="B6" s="5" t="s">
        <v>80</v>
      </c>
      <c r="C6" s="5" t="s">
        <v>81</v>
      </c>
      <c r="D6" s="5" t="n">
        <v>2002</v>
      </c>
      <c r="E6" s="5" t="s">
        <v>82</v>
      </c>
      <c r="F6" s="5" t="s">
        <v>83</v>
      </c>
      <c r="G6" s="5" t="s">
        <v>75</v>
      </c>
      <c r="H6" s="5"/>
      <c r="I6" s="5" t="s">
        <v>44</v>
      </c>
      <c r="J6" s="5" t="s">
        <v>45</v>
      </c>
      <c r="K6" s="5"/>
      <c r="L6" s="5" t="s">
        <v>46</v>
      </c>
      <c r="M6" s="5" t="s">
        <v>47</v>
      </c>
      <c r="N6" s="5"/>
      <c r="O6" s="5"/>
      <c r="P6" s="5" t="s">
        <v>48</v>
      </c>
      <c r="Q6" s="5" t="s">
        <v>49</v>
      </c>
      <c r="R6" s="5"/>
      <c r="S6" s="5" t="s">
        <v>84</v>
      </c>
      <c r="T6" s="5" t="s">
        <v>85</v>
      </c>
      <c r="U6" s="5" t="s">
        <v>86</v>
      </c>
      <c r="V6" s="5" t="s">
        <v>52</v>
      </c>
      <c r="W6" s="5"/>
      <c r="X6" s="5"/>
    </row>
    <row r="7" customFormat="false" ht="22.35" hidden="false" customHeight="false" outlineLevel="0" collapsed="false">
      <c r="A7" s="5" t="s">
        <v>87</v>
      </c>
      <c r="B7" s="5" t="s">
        <v>88</v>
      </c>
      <c r="C7" s="5" t="s">
        <v>89</v>
      </c>
      <c r="D7" s="5" t="n">
        <v>1990</v>
      </c>
      <c r="E7" s="5" t="s">
        <v>90</v>
      </c>
      <c r="F7" s="5" t="s">
        <v>91</v>
      </c>
      <c r="G7" s="5" t="s">
        <v>75</v>
      </c>
      <c r="H7" s="5" t="s">
        <v>92</v>
      </c>
      <c r="I7" s="5" t="s">
        <v>44</v>
      </c>
      <c r="J7" s="5" t="s">
        <v>45</v>
      </c>
      <c r="K7" s="5"/>
      <c r="L7" s="5" t="s">
        <v>46</v>
      </c>
      <c r="M7" s="5" t="s">
        <v>47</v>
      </c>
      <c r="N7" s="5"/>
      <c r="O7" s="5"/>
      <c r="P7" s="5" t="s">
        <v>48</v>
      </c>
      <c r="Q7" s="5" t="s">
        <v>49</v>
      </c>
      <c r="R7" s="5"/>
      <c r="S7" s="5" t="s">
        <v>93</v>
      </c>
      <c r="T7" s="5"/>
      <c r="U7" s="5" t="s">
        <v>94</v>
      </c>
      <c r="V7" s="5" t="s">
        <v>52</v>
      </c>
      <c r="W7" s="5"/>
      <c r="X7" s="5"/>
    </row>
    <row r="8" customFormat="false" ht="22.35" hidden="false" customHeight="false" outlineLevel="0" collapsed="false">
      <c r="A8" s="5" t="s">
        <v>95</v>
      </c>
      <c r="B8" s="5" t="s">
        <v>96</v>
      </c>
      <c r="C8" s="5" t="s">
        <v>97</v>
      </c>
      <c r="D8" s="5" t="n">
        <v>2011</v>
      </c>
      <c r="E8" s="5" t="s">
        <v>98</v>
      </c>
      <c r="F8" s="5" t="s">
        <v>99</v>
      </c>
      <c r="G8" s="5" t="s">
        <v>75</v>
      </c>
      <c r="H8" s="5" t="s">
        <v>100</v>
      </c>
      <c r="I8" s="5" t="s">
        <v>44</v>
      </c>
      <c r="J8" s="5" t="s">
        <v>45</v>
      </c>
      <c r="K8" s="5"/>
      <c r="L8" s="5" t="s">
        <v>46</v>
      </c>
      <c r="M8" s="5" t="s">
        <v>47</v>
      </c>
      <c r="N8" s="5"/>
      <c r="O8" s="5"/>
      <c r="P8" s="5" t="s">
        <v>48</v>
      </c>
      <c r="Q8" s="5" t="s">
        <v>49</v>
      </c>
      <c r="R8" s="5"/>
      <c r="S8" s="5" t="s">
        <v>101</v>
      </c>
      <c r="T8" s="5"/>
      <c r="U8" s="5" t="s">
        <v>102</v>
      </c>
      <c r="V8" s="5" t="s">
        <v>52</v>
      </c>
      <c r="W8" s="5"/>
      <c r="X8" s="5"/>
    </row>
    <row r="9" customFormat="false" ht="43.25" hidden="false" customHeight="false" outlineLevel="0" collapsed="false">
      <c r="A9" s="5" t="s">
        <v>103</v>
      </c>
      <c r="B9" s="5" t="s">
        <v>104</v>
      </c>
      <c r="C9" s="5" t="s">
        <v>105</v>
      </c>
      <c r="D9" s="5" t="n">
        <v>2021</v>
      </c>
      <c r="E9" s="5" t="s">
        <v>106</v>
      </c>
      <c r="F9" s="5" t="s">
        <v>107</v>
      </c>
      <c r="G9" s="5" t="s">
        <v>75</v>
      </c>
      <c r="H9" s="5" t="s">
        <v>108</v>
      </c>
      <c r="I9" s="5" t="s">
        <v>44</v>
      </c>
      <c r="J9" s="5" t="s">
        <v>45</v>
      </c>
      <c r="K9" s="5"/>
      <c r="L9" s="5" t="s">
        <v>46</v>
      </c>
      <c r="M9" s="5" t="s">
        <v>47</v>
      </c>
      <c r="N9" s="5"/>
      <c r="O9" s="5"/>
      <c r="P9" s="5" t="s">
        <v>48</v>
      </c>
      <c r="Q9" s="5" t="s">
        <v>109</v>
      </c>
      <c r="R9" s="5"/>
      <c r="S9" s="5" t="s">
        <v>110</v>
      </c>
      <c r="T9" s="5"/>
      <c r="U9" s="5" t="s">
        <v>111</v>
      </c>
      <c r="V9" s="5" t="s">
        <v>68</v>
      </c>
      <c r="W9" s="5" t="s">
        <v>112</v>
      </c>
      <c r="X9" s="5" t="s">
        <v>68</v>
      </c>
    </row>
    <row r="10" customFormat="false" ht="22.35" hidden="false" customHeight="false" outlineLevel="0" collapsed="false">
      <c r="A10" s="5" t="s">
        <v>113</v>
      </c>
      <c r="B10" s="5" t="s">
        <v>114</v>
      </c>
      <c r="C10" s="5" t="s">
        <v>115</v>
      </c>
      <c r="D10" s="5" t="n">
        <v>2011</v>
      </c>
      <c r="E10" s="5" t="s">
        <v>116</v>
      </c>
      <c r="F10" s="5" t="s">
        <v>117</v>
      </c>
      <c r="G10" s="5" t="s">
        <v>75</v>
      </c>
      <c r="H10" s="5" t="s">
        <v>118</v>
      </c>
      <c r="I10" s="5" t="s">
        <v>44</v>
      </c>
      <c r="J10" s="5" t="s">
        <v>45</v>
      </c>
      <c r="K10" s="5"/>
      <c r="L10" s="5" t="s">
        <v>46</v>
      </c>
      <c r="M10" s="5" t="s">
        <v>47</v>
      </c>
      <c r="N10" s="5"/>
      <c r="O10" s="5"/>
      <c r="P10" s="5" t="s">
        <v>48</v>
      </c>
      <c r="Q10" s="5" t="s">
        <v>49</v>
      </c>
      <c r="R10" s="5"/>
      <c r="S10" s="5" t="s">
        <v>119</v>
      </c>
      <c r="T10" s="5"/>
      <c r="U10" s="5" t="s">
        <v>120</v>
      </c>
      <c r="V10" s="5" t="s">
        <v>52</v>
      </c>
      <c r="W10" s="5"/>
      <c r="X10" s="5"/>
    </row>
    <row r="11" customFormat="false" ht="32.8" hidden="false" customHeight="false" outlineLevel="0" collapsed="false">
      <c r="A11" s="5" t="s">
        <v>121</v>
      </c>
      <c r="B11" s="5" t="s">
        <v>122</v>
      </c>
      <c r="C11" s="5" t="s">
        <v>123</v>
      </c>
      <c r="D11" s="5" t="n">
        <v>2023</v>
      </c>
      <c r="E11" s="5" t="s">
        <v>124</v>
      </c>
      <c r="F11" s="5" t="s">
        <v>125</v>
      </c>
      <c r="G11" s="5" t="s">
        <v>75</v>
      </c>
      <c r="H11" s="5" t="s">
        <v>126</v>
      </c>
      <c r="I11" s="5" t="s">
        <v>44</v>
      </c>
      <c r="J11" s="5" t="s">
        <v>127</v>
      </c>
      <c r="K11" s="5"/>
      <c r="L11" s="5" t="s">
        <v>128</v>
      </c>
      <c r="M11" s="5" t="s">
        <v>129</v>
      </c>
      <c r="N11" s="5"/>
      <c r="O11" s="5"/>
      <c r="P11" s="5" t="s">
        <v>130</v>
      </c>
      <c r="Q11" s="5" t="s">
        <v>109</v>
      </c>
      <c r="R11" s="5"/>
      <c r="S11" s="5" t="s">
        <v>131</v>
      </c>
      <c r="T11" s="5" t="s">
        <v>132</v>
      </c>
      <c r="U11" s="5" t="s">
        <v>133</v>
      </c>
      <c r="V11" s="5" t="s">
        <v>68</v>
      </c>
      <c r="W11" s="5" t="s">
        <v>112</v>
      </c>
      <c r="X11" s="5" t="s">
        <v>68</v>
      </c>
    </row>
    <row r="12" customFormat="false" ht="32.8" hidden="false" customHeight="false" outlineLevel="0" collapsed="false">
      <c r="A12" s="5" t="s">
        <v>134</v>
      </c>
      <c r="B12" s="5" t="s">
        <v>135</v>
      </c>
      <c r="C12" s="5" t="s">
        <v>136</v>
      </c>
      <c r="D12" s="5" t="n">
        <v>2025</v>
      </c>
      <c r="E12" s="5" t="s">
        <v>137</v>
      </c>
      <c r="F12" s="5" t="s">
        <v>138</v>
      </c>
      <c r="G12" s="5" t="s">
        <v>64</v>
      </c>
      <c r="H12" s="5" t="s">
        <v>139</v>
      </c>
      <c r="I12" s="5" t="s">
        <v>44</v>
      </c>
      <c r="J12" s="5" t="s">
        <v>127</v>
      </c>
      <c r="K12" s="5"/>
      <c r="L12" s="5" t="s">
        <v>128</v>
      </c>
      <c r="M12" s="5" t="s">
        <v>129</v>
      </c>
      <c r="N12" s="5"/>
      <c r="O12" s="5"/>
      <c r="P12" s="5" t="s">
        <v>130</v>
      </c>
      <c r="Q12" s="5" t="s">
        <v>109</v>
      </c>
      <c r="R12" s="5"/>
      <c r="S12" s="5" t="s">
        <v>58</v>
      </c>
      <c r="T12" s="5" t="s">
        <v>140</v>
      </c>
      <c r="U12" s="5"/>
      <c r="V12" s="5" t="s">
        <v>68</v>
      </c>
      <c r="W12" s="5" t="s">
        <v>112</v>
      </c>
      <c r="X12" s="5" t="s">
        <v>141</v>
      </c>
    </row>
    <row r="13" customFormat="false" ht="32.8" hidden="false" customHeight="false" outlineLevel="0" collapsed="false">
      <c r="A13" s="5" t="s">
        <v>142</v>
      </c>
      <c r="B13" s="5" t="s">
        <v>143</v>
      </c>
      <c r="C13" s="5" t="s">
        <v>144</v>
      </c>
      <c r="D13" s="5" t="n">
        <v>2022</v>
      </c>
      <c r="E13" s="5" t="s">
        <v>145</v>
      </c>
      <c r="F13" s="5" t="s">
        <v>146</v>
      </c>
      <c r="G13" s="5" t="s">
        <v>75</v>
      </c>
      <c r="H13" s="5" t="s">
        <v>147</v>
      </c>
      <c r="I13" s="5" t="s">
        <v>44</v>
      </c>
      <c r="J13" s="5" t="s">
        <v>127</v>
      </c>
      <c r="K13" s="5"/>
      <c r="L13" s="5" t="s">
        <v>128</v>
      </c>
      <c r="M13" s="5" t="s">
        <v>129</v>
      </c>
      <c r="N13" s="5"/>
      <c r="O13" s="5"/>
      <c r="P13" s="5" t="s">
        <v>130</v>
      </c>
      <c r="Q13" s="5" t="s">
        <v>109</v>
      </c>
      <c r="R13" s="5"/>
      <c r="S13" s="5" t="s">
        <v>148</v>
      </c>
      <c r="T13" s="5" t="s">
        <v>149</v>
      </c>
      <c r="U13" s="5" t="s">
        <v>150</v>
      </c>
      <c r="V13" s="5" t="s">
        <v>68</v>
      </c>
      <c r="W13" s="5" t="s">
        <v>69</v>
      </c>
      <c r="X13" s="5"/>
    </row>
    <row r="14" customFormat="false" ht="43.25" hidden="false" customHeight="false" outlineLevel="0" collapsed="false">
      <c r="A14" s="5" t="s">
        <v>151</v>
      </c>
      <c r="B14" s="5" t="s">
        <v>152</v>
      </c>
      <c r="C14" s="5" t="s">
        <v>153</v>
      </c>
      <c r="D14" s="5" t="n">
        <v>2025</v>
      </c>
      <c r="E14" s="5" t="s">
        <v>154</v>
      </c>
      <c r="F14" s="5" t="s">
        <v>155</v>
      </c>
      <c r="G14" s="5" t="s">
        <v>64</v>
      </c>
      <c r="H14" s="5" t="s">
        <v>156</v>
      </c>
      <c r="I14" s="5" t="s">
        <v>44</v>
      </c>
      <c r="J14" s="5" t="s">
        <v>127</v>
      </c>
      <c r="K14" s="5"/>
      <c r="L14" s="5" t="s">
        <v>128</v>
      </c>
      <c r="M14" s="5" t="s">
        <v>129</v>
      </c>
      <c r="N14" s="5"/>
      <c r="O14" s="5"/>
      <c r="P14" s="5" t="s">
        <v>130</v>
      </c>
      <c r="Q14" s="5" t="s">
        <v>109</v>
      </c>
      <c r="R14" s="5"/>
      <c r="S14" s="5" t="s">
        <v>157</v>
      </c>
      <c r="T14" s="5" t="s">
        <v>158</v>
      </c>
      <c r="U14" s="5" t="s">
        <v>159</v>
      </c>
      <c r="V14" s="5" t="s">
        <v>68</v>
      </c>
      <c r="W14" s="5" t="s">
        <v>69</v>
      </c>
      <c r="X14" s="5"/>
    </row>
    <row r="15" customFormat="false" ht="22.35" hidden="false" customHeight="false" outlineLevel="0" collapsed="false">
      <c r="A15" s="5" t="s">
        <v>160</v>
      </c>
      <c r="B15" s="5" t="s">
        <v>161</v>
      </c>
      <c r="C15" s="5" t="s">
        <v>162</v>
      </c>
      <c r="D15" s="5" t="n">
        <v>2025</v>
      </c>
      <c r="E15" s="5" t="s">
        <v>163</v>
      </c>
      <c r="F15" s="5" t="s">
        <v>164</v>
      </c>
      <c r="G15" s="5" t="s">
        <v>75</v>
      </c>
      <c r="H15" s="5" t="s">
        <v>165</v>
      </c>
      <c r="I15" s="5" t="s">
        <v>44</v>
      </c>
      <c r="J15" s="5" t="s">
        <v>127</v>
      </c>
      <c r="K15" s="5"/>
      <c r="L15" s="5" t="s">
        <v>128</v>
      </c>
      <c r="M15" s="5" t="s">
        <v>129</v>
      </c>
      <c r="N15" s="5"/>
      <c r="O15" s="5"/>
      <c r="P15" s="5" t="s">
        <v>130</v>
      </c>
      <c r="Q15" s="5" t="s">
        <v>109</v>
      </c>
      <c r="R15" s="5"/>
      <c r="S15" s="5" t="s">
        <v>166</v>
      </c>
      <c r="T15" s="5" t="s">
        <v>167</v>
      </c>
      <c r="U15" s="5" t="s">
        <v>168</v>
      </c>
      <c r="V15" s="5" t="s">
        <v>68</v>
      </c>
      <c r="W15" s="5" t="s">
        <v>69</v>
      </c>
      <c r="X15" s="5"/>
    </row>
    <row r="16" customFormat="false" ht="22.35" hidden="false" customHeight="false" outlineLevel="0" collapsed="false">
      <c r="A16" s="5" t="s">
        <v>169</v>
      </c>
      <c r="B16" s="5" t="s">
        <v>170</v>
      </c>
      <c r="C16" s="5" t="s">
        <v>171</v>
      </c>
      <c r="D16" s="5" t="n">
        <v>2025</v>
      </c>
      <c r="E16" s="5" t="s">
        <v>172</v>
      </c>
      <c r="F16" s="5" t="s">
        <v>173</v>
      </c>
      <c r="G16" s="5" t="s">
        <v>75</v>
      </c>
      <c r="H16" s="5"/>
      <c r="I16" s="5" t="s">
        <v>44</v>
      </c>
      <c r="J16" s="5" t="s">
        <v>127</v>
      </c>
      <c r="K16" s="5"/>
      <c r="L16" s="5" t="s">
        <v>128</v>
      </c>
      <c r="M16" s="5" t="s">
        <v>129</v>
      </c>
      <c r="N16" s="5"/>
      <c r="O16" s="5"/>
      <c r="P16" s="5" t="s">
        <v>130</v>
      </c>
      <c r="Q16" s="5" t="s">
        <v>109</v>
      </c>
      <c r="R16" s="5"/>
      <c r="S16" s="5" t="s">
        <v>58</v>
      </c>
      <c r="T16" s="5" t="s">
        <v>174</v>
      </c>
      <c r="U16" s="5"/>
      <c r="V16" s="5" t="s">
        <v>68</v>
      </c>
      <c r="W16" s="5" t="s">
        <v>112</v>
      </c>
      <c r="X16" s="5" t="s">
        <v>141</v>
      </c>
    </row>
    <row r="17" customFormat="false" ht="32.8" hidden="false" customHeight="false" outlineLevel="0" collapsed="false">
      <c r="A17" s="5" t="s">
        <v>175</v>
      </c>
      <c r="B17" s="5" t="s">
        <v>176</v>
      </c>
      <c r="C17" s="5" t="s">
        <v>177</v>
      </c>
      <c r="D17" s="5" t="n">
        <v>2023</v>
      </c>
      <c r="E17" s="5" t="s">
        <v>178</v>
      </c>
      <c r="F17" s="5" t="s">
        <v>179</v>
      </c>
      <c r="G17" s="5" t="s">
        <v>180</v>
      </c>
      <c r="H17" s="5" t="s">
        <v>181</v>
      </c>
      <c r="I17" s="5" t="s">
        <v>44</v>
      </c>
      <c r="J17" s="5" t="s">
        <v>182</v>
      </c>
      <c r="K17" s="5"/>
      <c r="L17" s="5" t="s">
        <v>183</v>
      </c>
      <c r="M17" s="5" t="s">
        <v>184</v>
      </c>
      <c r="N17" s="5" t="s">
        <v>185</v>
      </c>
      <c r="O17" s="5" t="s">
        <v>186</v>
      </c>
      <c r="P17" s="5" t="s">
        <v>187</v>
      </c>
      <c r="Q17" s="5" t="s">
        <v>109</v>
      </c>
      <c r="R17" s="5"/>
      <c r="S17" s="5" t="s">
        <v>188</v>
      </c>
      <c r="T17" s="5" t="s">
        <v>189</v>
      </c>
      <c r="U17" s="5" t="s">
        <v>190</v>
      </c>
      <c r="V17" s="5" t="s">
        <v>68</v>
      </c>
      <c r="W17" s="5" t="s">
        <v>69</v>
      </c>
      <c r="X17" s="5"/>
    </row>
    <row r="18" customFormat="false" ht="22.35" hidden="false" customHeight="false" outlineLevel="0" collapsed="false">
      <c r="A18" s="5" t="s">
        <v>191</v>
      </c>
      <c r="B18" s="5" t="s">
        <v>192</v>
      </c>
      <c r="C18" s="5" t="s">
        <v>193</v>
      </c>
      <c r="D18" s="5" t="n">
        <v>2024</v>
      </c>
      <c r="E18" s="5" t="s">
        <v>194</v>
      </c>
      <c r="F18" s="5" t="s">
        <v>195</v>
      </c>
      <c r="G18" s="5" t="s">
        <v>180</v>
      </c>
      <c r="H18" s="5" t="s">
        <v>196</v>
      </c>
      <c r="I18" s="5" t="s">
        <v>44</v>
      </c>
      <c r="J18" s="5" t="s">
        <v>182</v>
      </c>
      <c r="K18" s="5"/>
      <c r="L18" s="5" t="s">
        <v>183</v>
      </c>
      <c r="M18" s="5" t="s">
        <v>184</v>
      </c>
      <c r="N18" s="5" t="s">
        <v>185</v>
      </c>
      <c r="O18" s="5" t="s">
        <v>186</v>
      </c>
      <c r="P18" s="5" t="s">
        <v>187</v>
      </c>
      <c r="Q18" s="5" t="s">
        <v>109</v>
      </c>
      <c r="R18" s="5"/>
      <c r="S18" s="5" t="s">
        <v>197</v>
      </c>
      <c r="T18" s="5"/>
      <c r="U18" s="5" t="s">
        <v>198</v>
      </c>
      <c r="V18" s="5" t="s">
        <v>68</v>
      </c>
      <c r="W18" s="5" t="s">
        <v>69</v>
      </c>
      <c r="X18" s="5"/>
    </row>
    <row r="19" customFormat="false" ht="22.35" hidden="false" customHeight="false" outlineLevel="0" collapsed="false">
      <c r="A19" s="5" t="s">
        <v>199</v>
      </c>
      <c r="B19" s="5" t="s">
        <v>200</v>
      </c>
      <c r="C19" s="5" t="s">
        <v>201</v>
      </c>
      <c r="D19" s="5" t="n">
        <v>2025</v>
      </c>
      <c r="E19" s="5" t="s">
        <v>202</v>
      </c>
      <c r="F19" s="5" t="s">
        <v>203</v>
      </c>
      <c r="G19" s="5" t="s">
        <v>75</v>
      </c>
      <c r="H19" s="5" t="s">
        <v>204</v>
      </c>
      <c r="I19" s="5" t="s">
        <v>44</v>
      </c>
      <c r="J19" s="5" t="s">
        <v>182</v>
      </c>
      <c r="K19" s="5"/>
      <c r="L19" s="5" t="s">
        <v>183</v>
      </c>
      <c r="M19" s="5" t="s">
        <v>184</v>
      </c>
      <c r="N19" s="5" t="s">
        <v>185</v>
      </c>
      <c r="O19" s="5" t="s">
        <v>186</v>
      </c>
      <c r="P19" s="5" t="s">
        <v>187</v>
      </c>
      <c r="Q19" s="5" t="s">
        <v>109</v>
      </c>
      <c r="R19" s="5"/>
      <c r="S19" s="5" t="s">
        <v>205</v>
      </c>
      <c r="T19" s="5"/>
      <c r="U19" s="5" t="s">
        <v>206</v>
      </c>
      <c r="V19" s="5" t="s">
        <v>68</v>
      </c>
      <c r="W19" s="5" t="s">
        <v>112</v>
      </c>
      <c r="X19" s="5" t="s">
        <v>68</v>
      </c>
    </row>
    <row r="20" customFormat="false" ht="32.8" hidden="false" customHeight="false" outlineLevel="0" collapsed="false">
      <c r="A20" s="5" t="s">
        <v>207</v>
      </c>
      <c r="B20" s="5" t="s">
        <v>208</v>
      </c>
      <c r="C20" s="5" t="s">
        <v>209</v>
      </c>
      <c r="D20" s="5" t="n">
        <v>2020</v>
      </c>
      <c r="E20" s="5" t="s">
        <v>210</v>
      </c>
      <c r="F20" s="5" t="s">
        <v>211</v>
      </c>
      <c r="G20" s="5" t="s">
        <v>75</v>
      </c>
      <c r="H20" s="5" t="s">
        <v>212</v>
      </c>
      <c r="I20" s="5" t="s">
        <v>44</v>
      </c>
      <c r="J20" s="5" t="s">
        <v>182</v>
      </c>
      <c r="K20" s="5"/>
      <c r="L20" s="5" t="s">
        <v>183</v>
      </c>
      <c r="M20" s="5" t="s">
        <v>184</v>
      </c>
      <c r="N20" s="5" t="s">
        <v>185</v>
      </c>
      <c r="O20" s="5" t="s">
        <v>186</v>
      </c>
      <c r="P20" s="5" t="s">
        <v>187</v>
      </c>
      <c r="Q20" s="5" t="s">
        <v>109</v>
      </c>
      <c r="R20" s="5"/>
      <c r="S20" s="5" t="s">
        <v>213</v>
      </c>
      <c r="T20" s="5" t="s">
        <v>214</v>
      </c>
      <c r="U20" s="5" t="s">
        <v>215</v>
      </c>
      <c r="V20" s="5" t="s">
        <v>52</v>
      </c>
      <c r="W20" s="5"/>
      <c r="X20" s="5"/>
    </row>
    <row r="21" customFormat="false" ht="32.8" hidden="false" customHeight="false" outlineLevel="0" collapsed="false">
      <c r="A21" s="5" t="s">
        <v>216</v>
      </c>
      <c r="B21" s="5" t="s">
        <v>217</v>
      </c>
      <c r="C21" s="5" t="s">
        <v>218</v>
      </c>
      <c r="D21" s="5" t="n">
        <v>2023</v>
      </c>
      <c r="E21" s="5" t="s">
        <v>219</v>
      </c>
      <c r="F21" s="5" t="s">
        <v>220</v>
      </c>
      <c r="G21" s="5" t="s">
        <v>75</v>
      </c>
      <c r="H21" s="5" t="s">
        <v>221</v>
      </c>
      <c r="I21" s="5" t="s">
        <v>44</v>
      </c>
      <c r="J21" s="5" t="s">
        <v>182</v>
      </c>
      <c r="K21" s="5"/>
      <c r="L21" s="5" t="s">
        <v>183</v>
      </c>
      <c r="M21" s="5" t="s">
        <v>184</v>
      </c>
      <c r="N21" s="5" t="s">
        <v>185</v>
      </c>
      <c r="O21" s="5" t="s">
        <v>186</v>
      </c>
      <c r="P21" s="5" t="s">
        <v>187</v>
      </c>
      <c r="Q21" s="5" t="s">
        <v>109</v>
      </c>
      <c r="R21" s="5"/>
      <c r="S21" s="5" t="s">
        <v>222</v>
      </c>
      <c r="T21" s="5" t="s">
        <v>132</v>
      </c>
      <c r="U21" s="5" t="s">
        <v>223</v>
      </c>
      <c r="V21" s="5" t="s">
        <v>68</v>
      </c>
      <c r="W21" s="5" t="s">
        <v>69</v>
      </c>
      <c r="X21" s="5"/>
    </row>
    <row r="22" customFormat="false" ht="22.35" hidden="false" customHeight="false" outlineLevel="0" collapsed="false">
      <c r="A22" s="5" t="s">
        <v>224</v>
      </c>
      <c r="B22" s="5" t="s">
        <v>225</v>
      </c>
      <c r="C22" s="5" t="s">
        <v>226</v>
      </c>
      <c r="D22" s="5" t="n">
        <v>2025</v>
      </c>
      <c r="E22" s="5" t="s">
        <v>227</v>
      </c>
      <c r="F22" s="5" t="s">
        <v>228</v>
      </c>
      <c r="G22" s="5" t="s">
        <v>75</v>
      </c>
      <c r="H22" s="5" t="s">
        <v>229</v>
      </c>
      <c r="I22" s="5" t="s">
        <v>44</v>
      </c>
      <c r="J22" s="5" t="s">
        <v>182</v>
      </c>
      <c r="K22" s="5"/>
      <c r="L22" s="5" t="s">
        <v>183</v>
      </c>
      <c r="M22" s="5" t="s">
        <v>184</v>
      </c>
      <c r="N22" s="5" t="s">
        <v>185</v>
      </c>
      <c r="O22" s="5" t="s">
        <v>186</v>
      </c>
      <c r="P22" s="5" t="s">
        <v>187</v>
      </c>
      <c r="Q22" s="5" t="s">
        <v>109</v>
      </c>
      <c r="R22" s="5"/>
      <c r="S22" s="5" t="s">
        <v>230</v>
      </c>
      <c r="T22" s="5"/>
      <c r="U22" s="5" t="s">
        <v>231</v>
      </c>
      <c r="V22" s="5" t="s">
        <v>68</v>
      </c>
      <c r="W22" s="5" t="s">
        <v>112</v>
      </c>
      <c r="X22" s="5" t="s">
        <v>68</v>
      </c>
    </row>
    <row r="23" customFormat="false" ht="32.8" hidden="false" customHeight="false" outlineLevel="0" collapsed="false">
      <c r="A23" s="5" t="s">
        <v>232</v>
      </c>
      <c r="B23" s="5" t="s">
        <v>233</v>
      </c>
      <c r="C23" s="5" t="s">
        <v>234</v>
      </c>
      <c r="D23" s="5" t="n">
        <v>2021</v>
      </c>
      <c r="E23" s="5" t="s">
        <v>235</v>
      </c>
      <c r="F23" s="5" t="s">
        <v>236</v>
      </c>
      <c r="G23" s="5" t="s">
        <v>75</v>
      </c>
      <c r="H23" s="5" t="s">
        <v>237</v>
      </c>
      <c r="I23" s="5" t="s">
        <v>44</v>
      </c>
      <c r="J23" s="5" t="s">
        <v>238</v>
      </c>
      <c r="K23" s="5"/>
      <c r="L23" s="5" t="s">
        <v>183</v>
      </c>
      <c r="M23" s="5" t="s">
        <v>239</v>
      </c>
      <c r="N23" s="5" t="s">
        <v>240</v>
      </c>
      <c r="O23" s="5" t="s">
        <v>241</v>
      </c>
      <c r="P23" s="5" t="s">
        <v>187</v>
      </c>
      <c r="Q23" s="5" t="s">
        <v>109</v>
      </c>
      <c r="R23" s="5"/>
      <c r="S23" s="5" t="s">
        <v>242</v>
      </c>
      <c r="T23" s="5" t="s">
        <v>243</v>
      </c>
      <c r="U23" s="5" t="s">
        <v>244</v>
      </c>
      <c r="V23" s="5" t="s">
        <v>68</v>
      </c>
      <c r="W23" s="5" t="s">
        <v>112</v>
      </c>
      <c r="X23" s="5" t="s">
        <v>68</v>
      </c>
    </row>
    <row r="24" customFormat="false" ht="22.35" hidden="false" customHeight="false" outlineLevel="0" collapsed="false">
      <c r="A24" s="5" t="s">
        <v>245</v>
      </c>
      <c r="B24" s="5" t="s">
        <v>246</v>
      </c>
      <c r="C24" s="5" t="s">
        <v>247</v>
      </c>
      <c r="D24" s="5" t="n">
        <v>2025</v>
      </c>
      <c r="E24" s="5" t="s">
        <v>248</v>
      </c>
      <c r="F24" s="5" t="s">
        <v>249</v>
      </c>
      <c r="G24" s="5" t="s">
        <v>75</v>
      </c>
      <c r="H24" s="5" t="s">
        <v>250</v>
      </c>
      <c r="I24" s="5" t="s">
        <v>44</v>
      </c>
      <c r="J24" s="5" t="s">
        <v>238</v>
      </c>
      <c r="K24" s="5"/>
      <c r="L24" s="5" t="s">
        <v>183</v>
      </c>
      <c r="M24" s="5" t="s">
        <v>239</v>
      </c>
      <c r="N24" s="5" t="s">
        <v>240</v>
      </c>
      <c r="O24" s="5" t="s">
        <v>241</v>
      </c>
      <c r="P24" s="5" t="s">
        <v>187</v>
      </c>
      <c r="Q24" s="5" t="s">
        <v>109</v>
      </c>
      <c r="R24" s="5"/>
      <c r="S24" s="5" t="s">
        <v>251</v>
      </c>
      <c r="T24" s="5"/>
      <c r="U24" s="5" t="s">
        <v>252</v>
      </c>
      <c r="V24" s="5" t="s">
        <v>68</v>
      </c>
      <c r="W24" s="5" t="s">
        <v>112</v>
      </c>
      <c r="X24" s="5" t="s">
        <v>68</v>
      </c>
    </row>
    <row r="25" customFormat="false" ht="22.35" hidden="false" customHeight="false" outlineLevel="0" collapsed="false">
      <c r="A25" s="5" t="s">
        <v>253</v>
      </c>
      <c r="B25" s="5" t="s">
        <v>254</v>
      </c>
      <c r="C25" s="5" t="s">
        <v>255</v>
      </c>
      <c r="D25" s="5" t="n">
        <v>2025</v>
      </c>
      <c r="E25" s="5" t="s">
        <v>256</v>
      </c>
      <c r="F25" s="5" t="s">
        <v>257</v>
      </c>
      <c r="G25" s="5" t="s">
        <v>64</v>
      </c>
      <c r="H25" s="5" t="s">
        <v>258</v>
      </c>
      <c r="I25" s="5" t="s">
        <v>44</v>
      </c>
      <c r="J25" s="5" t="s">
        <v>238</v>
      </c>
      <c r="K25" s="5"/>
      <c r="L25" s="5" t="s">
        <v>183</v>
      </c>
      <c r="M25" s="5" t="s">
        <v>239</v>
      </c>
      <c r="N25" s="5" t="s">
        <v>240</v>
      </c>
      <c r="O25" s="5" t="s">
        <v>241</v>
      </c>
      <c r="P25" s="5" t="s">
        <v>187</v>
      </c>
      <c r="Q25" s="5" t="s">
        <v>109</v>
      </c>
      <c r="R25" s="5"/>
      <c r="S25" s="5" t="s">
        <v>259</v>
      </c>
      <c r="T25" s="5" t="s">
        <v>260</v>
      </c>
      <c r="U25" s="5" t="s">
        <v>261</v>
      </c>
      <c r="V25" s="5" t="s">
        <v>68</v>
      </c>
      <c r="W25" s="5" t="s">
        <v>112</v>
      </c>
      <c r="X25" s="5" t="s">
        <v>68</v>
      </c>
    </row>
    <row r="26" customFormat="false" ht="32.8" hidden="false" customHeight="false" outlineLevel="0" collapsed="false">
      <c r="A26" s="5" t="s">
        <v>262</v>
      </c>
      <c r="B26" s="5" t="s">
        <v>263</v>
      </c>
      <c r="C26" s="5" t="s">
        <v>264</v>
      </c>
      <c r="D26" s="5" t="n">
        <v>2024</v>
      </c>
      <c r="E26" s="5" t="s">
        <v>265</v>
      </c>
      <c r="F26" s="5" t="s">
        <v>266</v>
      </c>
      <c r="G26" s="5" t="s">
        <v>75</v>
      </c>
      <c r="H26" s="5" t="s">
        <v>267</v>
      </c>
      <c r="I26" s="5" t="s">
        <v>44</v>
      </c>
      <c r="J26" s="5" t="s">
        <v>238</v>
      </c>
      <c r="K26" s="5"/>
      <c r="L26" s="5" t="s">
        <v>183</v>
      </c>
      <c r="M26" s="5" t="s">
        <v>239</v>
      </c>
      <c r="N26" s="5" t="s">
        <v>240</v>
      </c>
      <c r="O26" s="5" t="s">
        <v>241</v>
      </c>
      <c r="P26" s="5" t="s">
        <v>187</v>
      </c>
      <c r="Q26" s="5" t="s">
        <v>109</v>
      </c>
      <c r="R26" s="5"/>
      <c r="S26" s="5" t="s">
        <v>268</v>
      </c>
      <c r="T26" s="5"/>
      <c r="U26" s="5" t="s">
        <v>269</v>
      </c>
      <c r="V26" s="5" t="s">
        <v>68</v>
      </c>
      <c r="W26" s="5" t="s">
        <v>69</v>
      </c>
      <c r="X26" s="5"/>
    </row>
    <row r="27" customFormat="false" ht="32.8" hidden="false" customHeight="false" outlineLevel="0" collapsed="false">
      <c r="A27" s="5" t="s">
        <v>270</v>
      </c>
      <c r="B27" s="5" t="s">
        <v>271</v>
      </c>
      <c r="C27" s="5" t="s">
        <v>272</v>
      </c>
      <c r="D27" s="5" t="n">
        <v>2025</v>
      </c>
      <c r="E27" s="5" t="s">
        <v>273</v>
      </c>
      <c r="F27" s="5" t="s">
        <v>274</v>
      </c>
      <c r="G27" s="5" t="s">
        <v>75</v>
      </c>
      <c r="H27" s="5" t="s">
        <v>275</v>
      </c>
      <c r="I27" s="5" t="s">
        <v>44</v>
      </c>
      <c r="J27" s="5" t="s">
        <v>238</v>
      </c>
      <c r="K27" s="5"/>
      <c r="L27" s="5" t="s">
        <v>183</v>
      </c>
      <c r="M27" s="5" t="s">
        <v>239</v>
      </c>
      <c r="N27" s="5" t="s">
        <v>240</v>
      </c>
      <c r="O27" s="5" t="s">
        <v>241</v>
      </c>
      <c r="P27" s="5" t="s">
        <v>187</v>
      </c>
      <c r="Q27" s="5" t="s">
        <v>109</v>
      </c>
      <c r="R27" s="5"/>
      <c r="S27" s="5" t="s">
        <v>276</v>
      </c>
      <c r="T27" s="5"/>
      <c r="U27" s="5" t="s">
        <v>277</v>
      </c>
      <c r="V27" s="5" t="s">
        <v>68</v>
      </c>
      <c r="W27" s="5" t="s">
        <v>112</v>
      </c>
      <c r="X27" s="5" t="s">
        <v>68</v>
      </c>
    </row>
    <row r="28" customFormat="false" ht="22.35" hidden="false" customHeight="false" outlineLevel="0" collapsed="false">
      <c r="A28" s="5" t="s">
        <v>278</v>
      </c>
      <c r="B28" s="5" t="s">
        <v>279</v>
      </c>
      <c r="C28" s="5" t="s">
        <v>280</v>
      </c>
      <c r="D28" s="5" t="n">
        <v>2025</v>
      </c>
      <c r="E28" s="5" t="s">
        <v>281</v>
      </c>
      <c r="F28" s="5" t="s">
        <v>228</v>
      </c>
      <c r="G28" s="5" t="s">
        <v>75</v>
      </c>
      <c r="H28" s="5" t="s">
        <v>282</v>
      </c>
      <c r="I28" s="5" t="s">
        <v>44</v>
      </c>
      <c r="J28" s="5" t="s">
        <v>238</v>
      </c>
      <c r="K28" s="5"/>
      <c r="L28" s="5" t="s">
        <v>183</v>
      </c>
      <c r="M28" s="5" t="s">
        <v>239</v>
      </c>
      <c r="N28" s="5" t="s">
        <v>240</v>
      </c>
      <c r="O28" s="5" t="s">
        <v>241</v>
      </c>
      <c r="P28" s="5" t="s">
        <v>187</v>
      </c>
      <c r="Q28" s="5" t="s">
        <v>109</v>
      </c>
      <c r="R28" s="5"/>
      <c r="S28" s="5" t="s">
        <v>283</v>
      </c>
      <c r="T28" s="5"/>
      <c r="U28" s="5" t="s">
        <v>284</v>
      </c>
      <c r="V28" s="5" t="s">
        <v>68</v>
      </c>
      <c r="W28" s="5" t="s">
        <v>69</v>
      </c>
      <c r="X28" s="5"/>
    </row>
    <row r="29" customFormat="false" ht="22.35" hidden="false" customHeight="false" outlineLevel="0" collapsed="false">
      <c r="A29" s="5" t="s">
        <v>285</v>
      </c>
      <c r="B29" s="5" t="s">
        <v>286</v>
      </c>
      <c r="C29" s="5" t="s">
        <v>287</v>
      </c>
      <c r="D29" s="5" t="n">
        <v>2025</v>
      </c>
      <c r="E29" s="5" t="s">
        <v>288</v>
      </c>
      <c r="F29" s="5" t="s">
        <v>228</v>
      </c>
      <c r="G29" s="5" t="s">
        <v>75</v>
      </c>
      <c r="H29" s="5" t="s">
        <v>289</v>
      </c>
      <c r="I29" s="5" t="s">
        <v>44</v>
      </c>
      <c r="J29" s="5" t="s">
        <v>238</v>
      </c>
      <c r="K29" s="5"/>
      <c r="L29" s="5" t="s">
        <v>183</v>
      </c>
      <c r="M29" s="5" t="s">
        <v>239</v>
      </c>
      <c r="N29" s="5" t="s">
        <v>240</v>
      </c>
      <c r="O29" s="5" t="s">
        <v>241</v>
      </c>
      <c r="P29" s="5" t="s">
        <v>187</v>
      </c>
      <c r="Q29" s="5" t="s">
        <v>109</v>
      </c>
      <c r="R29" s="5"/>
      <c r="S29" s="5" t="s">
        <v>290</v>
      </c>
      <c r="T29" s="5"/>
      <c r="U29" s="5" t="s">
        <v>291</v>
      </c>
      <c r="V29" s="5" t="s">
        <v>68</v>
      </c>
      <c r="W29" s="5" t="s">
        <v>69</v>
      </c>
      <c r="X29" s="5"/>
    </row>
    <row r="30" customFormat="false" ht="32.8" hidden="false" customHeight="false" outlineLevel="0" collapsed="false">
      <c r="A30" s="5" t="s">
        <v>292</v>
      </c>
      <c r="B30" s="5" t="s">
        <v>293</v>
      </c>
      <c r="C30" s="5" t="s">
        <v>294</v>
      </c>
      <c r="D30" s="5" t="n">
        <v>2026</v>
      </c>
      <c r="E30" s="5" t="s">
        <v>295</v>
      </c>
      <c r="F30" s="5" t="s">
        <v>296</v>
      </c>
      <c r="G30" s="5" t="s">
        <v>75</v>
      </c>
      <c r="H30" s="5" t="s">
        <v>297</v>
      </c>
      <c r="I30" s="5" t="s">
        <v>44</v>
      </c>
      <c r="J30" s="5" t="s">
        <v>238</v>
      </c>
      <c r="K30" s="5"/>
      <c r="L30" s="5" t="s">
        <v>183</v>
      </c>
      <c r="M30" s="5" t="s">
        <v>239</v>
      </c>
      <c r="N30" s="5" t="s">
        <v>240</v>
      </c>
      <c r="O30" s="5" t="s">
        <v>241</v>
      </c>
      <c r="P30" s="5" t="s">
        <v>187</v>
      </c>
      <c r="Q30" s="5" t="s">
        <v>109</v>
      </c>
      <c r="R30" s="5"/>
      <c r="S30" s="5" t="s">
        <v>298</v>
      </c>
      <c r="T30" s="5"/>
      <c r="U30" s="5" t="s">
        <v>299</v>
      </c>
      <c r="V30" s="5" t="s">
        <v>68</v>
      </c>
      <c r="W30" s="5" t="s">
        <v>69</v>
      </c>
      <c r="X30" s="5"/>
    </row>
    <row r="31" customFormat="false" ht="32.8" hidden="false" customHeight="false" outlineLevel="0" collapsed="false">
      <c r="A31" s="5" t="s">
        <v>300</v>
      </c>
      <c r="B31" s="5" t="s">
        <v>301</v>
      </c>
      <c r="C31" s="5" t="s">
        <v>302</v>
      </c>
      <c r="D31" s="5" t="n">
        <v>2025</v>
      </c>
      <c r="E31" s="5" t="s">
        <v>303</v>
      </c>
      <c r="F31" s="5" t="s">
        <v>304</v>
      </c>
      <c r="G31" s="5" t="s">
        <v>64</v>
      </c>
      <c r="H31" s="5" t="s">
        <v>305</v>
      </c>
      <c r="I31" s="5" t="s">
        <v>44</v>
      </c>
      <c r="J31" s="5" t="s">
        <v>306</v>
      </c>
      <c r="K31" s="5"/>
      <c r="L31" s="5" t="s">
        <v>183</v>
      </c>
      <c r="M31" s="5" t="s">
        <v>307</v>
      </c>
      <c r="N31" s="5" t="s">
        <v>308</v>
      </c>
      <c r="O31" s="5" t="s">
        <v>309</v>
      </c>
      <c r="P31" s="5" t="s">
        <v>187</v>
      </c>
      <c r="Q31" s="5" t="s">
        <v>109</v>
      </c>
      <c r="R31" s="5"/>
      <c r="S31" s="5" t="s">
        <v>310</v>
      </c>
      <c r="T31" s="5" t="s">
        <v>311</v>
      </c>
      <c r="U31" s="5" t="s">
        <v>312</v>
      </c>
      <c r="V31" s="5" t="s">
        <v>68</v>
      </c>
      <c r="W31" s="5" t="s">
        <v>69</v>
      </c>
      <c r="X31" s="5"/>
    </row>
    <row r="32" customFormat="false" ht="22.35" hidden="false" customHeight="false" outlineLevel="0" collapsed="false">
      <c r="A32" s="5" t="s">
        <v>313</v>
      </c>
      <c r="B32" s="5" t="s">
        <v>314</v>
      </c>
      <c r="C32" s="5" t="s">
        <v>315</v>
      </c>
      <c r="D32" s="5" t="n">
        <v>2026</v>
      </c>
      <c r="E32" s="5" t="s">
        <v>316</v>
      </c>
      <c r="F32" s="5" t="s">
        <v>317</v>
      </c>
      <c r="G32" s="5" t="s">
        <v>75</v>
      </c>
      <c r="H32" s="5" t="s">
        <v>318</v>
      </c>
      <c r="I32" s="5" t="s">
        <v>44</v>
      </c>
      <c r="J32" s="5" t="s">
        <v>306</v>
      </c>
      <c r="K32" s="5"/>
      <c r="L32" s="5" t="s">
        <v>183</v>
      </c>
      <c r="M32" s="5" t="s">
        <v>307</v>
      </c>
      <c r="N32" s="5" t="s">
        <v>308</v>
      </c>
      <c r="O32" s="5" t="s">
        <v>309</v>
      </c>
      <c r="P32" s="5" t="s">
        <v>187</v>
      </c>
      <c r="Q32" s="5" t="s">
        <v>109</v>
      </c>
      <c r="R32" s="5"/>
      <c r="S32" s="5" t="s">
        <v>319</v>
      </c>
      <c r="T32" s="5"/>
      <c r="U32" s="5" t="s">
        <v>320</v>
      </c>
      <c r="V32" s="5" t="s">
        <v>68</v>
      </c>
      <c r="W32" s="5" t="s">
        <v>69</v>
      </c>
      <c r="X32" s="5"/>
    </row>
    <row r="33" customFormat="false" ht="22.35" hidden="false" customHeight="false" outlineLevel="0" collapsed="false">
      <c r="A33" s="5" t="s">
        <v>321</v>
      </c>
      <c r="B33" s="5" t="s">
        <v>322</v>
      </c>
      <c r="C33" s="5" t="s">
        <v>323</v>
      </c>
      <c r="D33" s="5" t="n">
        <v>2024</v>
      </c>
      <c r="E33" s="5" t="s">
        <v>324</v>
      </c>
      <c r="F33" s="5" t="s">
        <v>325</v>
      </c>
      <c r="G33" s="5" t="s">
        <v>64</v>
      </c>
      <c r="H33" s="5" t="s">
        <v>326</v>
      </c>
      <c r="I33" s="5" t="s">
        <v>44</v>
      </c>
      <c r="J33" s="5" t="s">
        <v>306</v>
      </c>
      <c r="K33" s="5"/>
      <c r="L33" s="5" t="s">
        <v>183</v>
      </c>
      <c r="M33" s="5" t="s">
        <v>307</v>
      </c>
      <c r="N33" s="5" t="s">
        <v>308</v>
      </c>
      <c r="O33" s="5" t="s">
        <v>309</v>
      </c>
      <c r="P33" s="5" t="s">
        <v>187</v>
      </c>
      <c r="Q33" s="5" t="s">
        <v>109</v>
      </c>
      <c r="R33" s="5"/>
      <c r="S33" s="5" t="s">
        <v>327</v>
      </c>
      <c r="T33" s="5" t="s">
        <v>328</v>
      </c>
      <c r="U33" s="5" t="s">
        <v>329</v>
      </c>
      <c r="V33" s="5" t="s">
        <v>68</v>
      </c>
      <c r="W33" s="5" t="s">
        <v>112</v>
      </c>
      <c r="X33" s="5" t="s">
        <v>52</v>
      </c>
    </row>
    <row r="34" customFormat="false" ht="32.8" hidden="false" customHeight="false" outlineLevel="0" collapsed="false">
      <c r="A34" s="5" t="s">
        <v>330</v>
      </c>
      <c r="B34" s="5" t="s">
        <v>331</v>
      </c>
      <c r="C34" s="5" t="s">
        <v>332</v>
      </c>
      <c r="D34" s="5" t="n">
        <v>2025</v>
      </c>
      <c r="E34" s="5" t="s">
        <v>333</v>
      </c>
      <c r="F34" s="5" t="s">
        <v>334</v>
      </c>
      <c r="G34" s="5" t="s">
        <v>75</v>
      </c>
      <c r="H34" s="5" t="s">
        <v>335</v>
      </c>
      <c r="I34" s="5" t="s">
        <v>44</v>
      </c>
      <c r="J34" s="5" t="s">
        <v>306</v>
      </c>
      <c r="K34" s="5"/>
      <c r="L34" s="5" t="s">
        <v>183</v>
      </c>
      <c r="M34" s="5" t="s">
        <v>307</v>
      </c>
      <c r="N34" s="5" t="s">
        <v>308</v>
      </c>
      <c r="O34" s="5" t="s">
        <v>309</v>
      </c>
      <c r="P34" s="5" t="s">
        <v>187</v>
      </c>
      <c r="Q34" s="5" t="s">
        <v>109</v>
      </c>
      <c r="R34" s="5"/>
      <c r="S34" s="5" t="s">
        <v>336</v>
      </c>
      <c r="T34" s="5"/>
      <c r="U34" s="5" t="s">
        <v>337</v>
      </c>
      <c r="V34" s="5" t="s">
        <v>68</v>
      </c>
      <c r="W34" s="5" t="s">
        <v>112</v>
      </c>
      <c r="X34" s="5" t="s">
        <v>52</v>
      </c>
    </row>
    <row r="35" customFormat="false" ht="22.35" hidden="false" customHeight="false" outlineLevel="0" collapsed="false">
      <c r="A35" s="5" t="s">
        <v>338</v>
      </c>
      <c r="B35" s="5" t="s">
        <v>339</v>
      </c>
      <c r="C35" s="5" t="s">
        <v>340</v>
      </c>
      <c r="D35" s="5" t="n">
        <v>2025</v>
      </c>
      <c r="E35" s="5" t="s">
        <v>341</v>
      </c>
      <c r="F35" s="5" t="s">
        <v>342</v>
      </c>
      <c r="G35" s="5" t="s">
        <v>64</v>
      </c>
      <c r="H35" s="5" t="s">
        <v>343</v>
      </c>
      <c r="I35" s="5" t="s">
        <v>44</v>
      </c>
      <c r="J35" s="5" t="s">
        <v>306</v>
      </c>
      <c r="K35" s="5"/>
      <c r="L35" s="5" t="s">
        <v>183</v>
      </c>
      <c r="M35" s="5" t="s">
        <v>307</v>
      </c>
      <c r="N35" s="5" t="s">
        <v>308</v>
      </c>
      <c r="O35" s="5" t="s">
        <v>309</v>
      </c>
      <c r="P35" s="5" t="s">
        <v>187</v>
      </c>
      <c r="Q35" s="5" t="s">
        <v>109</v>
      </c>
      <c r="R35" s="5"/>
      <c r="S35" s="5" t="s">
        <v>344</v>
      </c>
      <c r="T35" s="5" t="s">
        <v>328</v>
      </c>
      <c r="U35" s="5" t="s">
        <v>345</v>
      </c>
      <c r="V35" s="5" t="s">
        <v>68</v>
      </c>
      <c r="W35" s="5" t="s">
        <v>112</v>
      </c>
      <c r="X35" s="5" t="s">
        <v>68</v>
      </c>
    </row>
    <row r="36" customFormat="false" ht="22.35" hidden="false" customHeight="false" outlineLevel="0" collapsed="false">
      <c r="A36" s="5" t="s">
        <v>346</v>
      </c>
      <c r="B36" s="5" t="s">
        <v>347</v>
      </c>
      <c r="C36" s="5" t="s">
        <v>348</v>
      </c>
      <c r="D36" s="5" t="n">
        <v>2025</v>
      </c>
      <c r="E36" s="5" t="s">
        <v>349</v>
      </c>
      <c r="F36" s="5" t="s">
        <v>350</v>
      </c>
      <c r="G36" s="5" t="s">
        <v>75</v>
      </c>
      <c r="H36" s="5" t="s">
        <v>351</v>
      </c>
      <c r="I36" s="5" t="s">
        <v>44</v>
      </c>
      <c r="J36" s="5" t="s">
        <v>306</v>
      </c>
      <c r="K36" s="5"/>
      <c r="L36" s="5" t="s">
        <v>183</v>
      </c>
      <c r="M36" s="5" t="s">
        <v>307</v>
      </c>
      <c r="N36" s="5" t="s">
        <v>308</v>
      </c>
      <c r="O36" s="5" t="s">
        <v>309</v>
      </c>
      <c r="P36" s="5" t="s">
        <v>187</v>
      </c>
      <c r="Q36" s="5" t="s">
        <v>109</v>
      </c>
      <c r="R36" s="5"/>
      <c r="S36" s="5" t="s">
        <v>352</v>
      </c>
      <c r="T36" s="5"/>
      <c r="U36" s="5" t="s">
        <v>353</v>
      </c>
      <c r="V36" s="5" t="s">
        <v>68</v>
      </c>
      <c r="W36" s="5" t="s">
        <v>69</v>
      </c>
      <c r="X36" s="5"/>
    </row>
    <row r="37" customFormat="false" ht="22.35" hidden="false" customHeight="false" outlineLevel="0" collapsed="false">
      <c r="A37" s="5" t="s">
        <v>354</v>
      </c>
      <c r="B37" s="5" t="s">
        <v>355</v>
      </c>
      <c r="C37" s="5" t="s">
        <v>356</v>
      </c>
      <c r="D37" s="5" t="n">
        <v>2022</v>
      </c>
      <c r="E37" s="5" t="s">
        <v>357</v>
      </c>
      <c r="F37" s="5" t="s">
        <v>358</v>
      </c>
      <c r="G37" s="5" t="s">
        <v>75</v>
      </c>
      <c r="H37" s="5" t="s">
        <v>359</v>
      </c>
      <c r="I37" s="5" t="s">
        <v>44</v>
      </c>
      <c r="J37" s="5" t="s">
        <v>360</v>
      </c>
      <c r="K37" s="5"/>
      <c r="L37" s="5" t="s">
        <v>183</v>
      </c>
      <c r="M37" s="5" t="s">
        <v>361</v>
      </c>
      <c r="N37" s="5" t="s">
        <v>362</v>
      </c>
      <c r="O37" s="5" t="s">
        <v>363</v>
      </c>
      <c r="P37" s="5" t="s">
        <v>364</v>
      </c>
      <c r="Q37" s="5" t="s">
        <v>109</v>
      </c>
      <c r="R37" s="5"/>
      <c r="S37" s="5" t="s">
        <v>365</v>
      </c>
      <c r="T37" s="5"/>
      <c r="U37" s="5" t="s">
        <v>366</v>
      </c>
      <c r="V37" s="5" t="s">
        <v>68</v>
      </c>
      <c r="W37" s="5" t="s">
        <v>112</v>
      </c>
      <c r="X37" s="5" t="s">
        <v>68</v>
      </c>
    </row>
    <row r="38" customFormat="false" ht="32.8" hidden="false" customHeight="false" outlineLevel="0" collapsed="false">
      <c r="A38" s="5" t="s">
        <v>367</v>
      </c>
      <c r="B38" s="5" t="s">
        <v>368</v>
      </c>
      <c r="C38" s="5" t="s">
        <v>369</v>
      </c>
      <c r="D38" s="5" t="n">
        <v>2019</v>
      </c>
      <c r="E38" s="5" t="s">
        <v>370</v>
      </c>
      <c r="F38" s="5" t="s">
        <v>371</v>
      </c>
      <c r="G38" s="5" t="s">
        <v>180</v>
      </c>
      <c r="H38" s="5" t="s">
        <v>372</v>
      </c>
      <c r="I38" s="5" t="s">
        <v>44</v>
      </c>
      <c r="J38" s="5" t="s">
        <v>360</v>
      </c>
      <c r="K38" s="5"/>
      <c r="L38" s="5" t="s">
        <v>183</v>
      </c>
      <c r="M38" s="5" t="s">
        <v>361</v>
      </c>
      <c r="N38" s="5" t="s">
        <v>362</v>
      </c>
      <c r="O38" s="5" t="s">
        <v>363</v>
      </c>
      <c r="P38" s="5" t="s">
        <v>364</v>
      </c>
      <c r="Q38" s="5" t="s">
        <v>109</v>
      </c>
      <c r="R38" s="5"/>
      <c r="S38" s="5" t="s">
        <v>373</v>
      </c>
      <c r="T38" s="5"/>
      <c r="U38" s="5" t="s">
        <v>374</v>
      </c>
      <c r="V38" s="5" t="s">
        <v>52</v>
      </c>
      <c r="W38" s="5"/>
      <c r="X38" s="5"/>
    </row>
    <row r="39" customFormat="false" ht="22.35" hidden="false" customHeight="false" outlineLevel="0" collapsed="false">
      <c r="A39" s="5" t="s">
        <v>375</v>
      </c>
      <c r="B39" s="5" t="s">
        <v>376</v>
      </c>
      <c r="C39" s="5" t="s">
        <v>377</v>
      </c>
      <c r="D39" s="5" t="n">
        <v>2022</v>
      </c>
      <c r="E39" s="5" t="s">
        <v>378</v>
      </c>
      <c r="F39" s="5" t="s">
        <v>379</v>
      </c>
      <c r="G39" s="5" t="s">
        <v>75</v>
      </c>
      <c r="H39" s="5" t="s">
        <v>380</v>
      </c>
      <c r="I39" s="5" t="s">
        <v>44</v>
      </c>
      <c r="J39" s="5" t="s">
        <v>360</v>
      </c>
      <c r="K39" s="5"/>
      <c r="L39" s="5" t="s">
        <v>183</v>
      </c>
      <c r="M39" s="5" t="s">
        <v>361</v>
      </c>
      <c r="N39" s="5" t="s">
        <v>362</v>
      </c>
      <c r="O39" s="5" t="s">
        <v>363</v>
      </c>
      <c r="P39" s="5" t="s">
        <v>187</v>
      </c>
      <c r="Q39" s="5" t="s">
        <v>109</v>
      </c>
      <c r="R39" s="5"/>
      <c r="S39" s="5" t="s">
        <v>381</v>
      </c>
      <c r="T39" s="5"/>
      <c r="U39" s="5" t="s">
        <v>382</v>
      </c>
      <c r="V39" s="5" t="s">
        <v>68</v>
      </c>
      <c r="W39" s="5" t="s">
        <v>112</v>
      </c>
      <c r="X39" s="5" t="s">
        <v>68</v>
      </c>
    </row>
    <row r="40" customFormat="false" ht="22.35" hidden="false" customHeight="false" outlineLevel="0" collapsed="false">
      <c r="A40" s="5" t="s">
        <v>383</v>
      </c>
      <c r="B40" s="5" t="s">
        <v>384</v>
      </c>
      <c r="C40" s="5" t="s">
        <v>385</v>
      </c>
      <c r="D40" s="5" t="n">
        <v>2026</v>
      </c>
      <c r="E40" s="5" t="s">
        <v>386</v>
      </c>
      <c r="F40" s="5" t="s">
        <v>387</v>
      </c>
      <c r="G40" s="5" t="s">
        <v>75</v>
      </c>
      <c r="H40" s="5" t="s">
        <v>388</v>
      </c>
      <c r="I40" s="5" t="s">
        <v>44</v>
      </c>
      <c r="J40" s="5" t="s">
        <v>360</v>
      </c>
      <c r="K40" s="5"/>
      <c r="L40" s="5" t="s">
        <v>183</v>
      </c>
      <c r="M40" s="5" t="s">
        <v>361</v>
      </c>
      <c r="N40" s="5" t="s">
        <v>362</v>
      </c>
      <c r="O40" s="5" t="s">
        <v>363</v>
      </c>
      <c r="P40" s="5" t="s">
        <v>187</v>
      </c>
      <c r="Q40" s="5" t="s">
        <v>109</v>
      </c>
      <c r="R40" s="5"/>
      <c r="S40" s="5" t="s">
        <v>389</v>
      </c>
      <c r="T40" s="5"/>
      <c r="U40" s="5" t="s">
        <v>390</v>
      </c>
      <c r="V40" s="5" t="s">
        <v>68</v>
      </c>
      <c r="W40" s="5" t="s">
        <v>69</v>
      </c>
      <c r="X40" s="5"/>
    </row>
    <row r="41" customFormat="false" ht="43.25" hidden="false" customHeight="false" outlineLevel="0" collapsed="false">
      <c r="A41" s="5" t="s">
        <v>391</v>
      </c>
      <c r="B41" s="5" t="s">
        <v>392</v>
      </c>
      <c r="C41" s="5" t="s">
        <v>393</v>
      </c>
      <c r="D41" s="5" t="n">
        <v>2025</v>
      </c>
      <c r="E41" s="5" t="s">
        <v>394</v>
      </c>
      <c r="F41" s="5" t="s">
        <v>395</v>
      </c>
      <c r="G41" s="5" t="s">
        <v>64</v>
      </c>
      <c r="H41" s="5" t="s">
        <v>396</v>
      </c>
      <c r="I41" s="5" t="s">
        <v>44</v>
      </c>
      <c r="J41" s="5" t="s">
        <v>360</v>
      </c>
      <c r="K41" s="5"/>
      <c r="L41" s="5" t="s">
        <v>183</v>
      </c>
      <c r="M41" s="5" t="s">
        <v>361</v>
      </c>
      <c r="N41" s="5" t="s">
        <v>362</v>
      </c>
      <c r="O41" s="5" t="s">
        <v>363</v>
      </c>
      <c r="P41" s="5" t="s">
        <v>187</v>
      </c>
      <c r="Q41" s="5" t="s">
        <v>109</v>
      </c>
      <c r="R41" s="5"/>
      <c r="S41" s="5" t="s">
        <v>397</v>
      </c>
      <c r="T41" s="5"/>
      <c r="U41" s="5" t="s">
        <v>398</v>
      </c>
      <c r="V41" s="5" t="s">
        <v>68</v>
      </c>
      <c r="W41" s="5" t="s">
        <v>69</v>
      </c>
      <c r="X41" s="5"/>
    </row>
    <row r="42" customFormat="false" ht="22.35" hidden="false" customHeight="false" outlineLevel="0" collapsed="false">
      <c r="A42" s="5" t="s">
        <v>399</v>
      </c>
      <c r="B42" s="5" t="s">
        <v>400</v>
      </c>
      <c r="C42" s="5" t="s">
        <v>401</v>
      </c>
      <c r="D42" s="5" t="n">
        <v>2025</v>
      </c>
      <c r="E42" s="5" t="s">
        <v>402</v>
      </c>
      <c r="F42" s="5" t="s">
        <v>203</v>
      </c>
      <c r="G42" s="5" t="s">
        <v>75</v>
      </c>
      <c r="H42" s="5" t="s">
        <v>403</v>
      </c>
      <c r="I42" s="5" t="s">
        <v>44</v>
      </c>
      <c r="J42" s="5" t="s">
        <v>360</v>
      </c>
      <c r="K42" s="5"/>
      <c r="L42" s="5" t="s">
        <v>183</v>
      </c>
      <c r="M42" s="5" t="s">
        <v>361</v>
      </c>
      <c r="N42" s="5" t="s">
        <v>362</v>
      </c>
      <c r="O42" s="5" t="s">
        <v>363</v>
      </c>
      <c r="P42" s="5" t="s">
        <v>187</v>
      </c>
      <c r="Q42" s="5" t="s">
        <v>109</v>
      </c>
      <c r="R42" s="5"/>
      <c r="S42" s="5" t="s">
        <v>404</v>
      </c>
      <c r="T42" s="5"/>
      <c r="U42" s="5" t="s">
        <v>405</v>
      </c>
      <c r="V42" s="5" t="s">
        <v>68</v>
      </c>
      <c r="W42" s="5" t="s">
        <v>69</v>
      </c>
      <c r="X42" s="5"/>
    </row>
    <row r="43" customFormat="false" ht="22.35" hidden="false" customHeight="false" outlineLevel="0" collapsed="false">
      <c r="A43" s="5" t="s">
        <v>406</v>
      </c>
      <c r="B43" s="5" t="s">
        <v>407</v>
      </c>
      <c r="C43" s="5" t="s">
        <v>408</v>
      </c>
      <c r="D43" s="5" t="n">
        <v>2026</v>
      </c>
      <c r="E43" s="5" t="s">
        <v>409</v>
      </c>
      <c r="F43" s="5" t="s">
        <v>410</v>
      </c>
      <c r="G43" s="5" t="s">
        <v>75</v>
      </c>
      <c r="H43" s="5" t="s">
        <v>411</v>
      </c>
      <c r="I43" s="5" t="s">
        <v>44</v>
      </c>
      <c r="J43" s="5" t="s">
        <v>360</v>
      </c>
      <c r="K43" s="5"/>
      <c r="L43" s="5" t="s">
        <v>183</v>
      </c>
      <c r="M43" s="5" t="s">
        <v>361</v>
      </c>
      <c r="N43" s="5" t="s">
        <v>362</v>
      </c>
      <c r="O43" s="5" t="s">
        <v>363</v>
      </c>
      <c r="P43" s="5" t="s">
        <v>187</v>
      </c>
      <c r="Q43" s="5" t="s">
        <v>109</v>
      </c>
      <c r="R43" s="5"/>
      <c r="S43" s="5" t="s">
        <v>412</v>
      </c>
      <c r="T43" s="5" t="s">
        <v>413</v>
      </c>
      <c r="U43" s="5" t="s">
        <v>414</v>
      </c>
      <c r="V43" s="5" t="s">
        <v>68</v>
      </c>
      <c r="W43" s="5" t="s">
        <v>69</v>
      </c>
      <c r="X43" s="5"/>
    </row>
    <row r="44" customFormat="false" ht="22.35" hidden="false" customHeight="false" outlineLevel="0" collapsed="false">
      <c r="A44" s="5" t="s">
        <v>415</v>
      </c>
      <c r="B44" s="5" t="s">
        <v>416</v>
      </c>
      <c r="C44" s="5" t="s">
        <v>417</v>
      </c>
      <c r="D44" s="5" t="n">
        <v>2024</v>
      </c>
      <c r="E44" s="5" t="s">
        <v>418</v>
      </c>
      <c r="F44" s="5" t="s">
        <v>419</v>
      </c>
      <c r="G44" s="5" t="s">
        <v>75</v>
      </c>
      <c r="H44" s="5" t="s">
        <v>420</v>
      </c>
      <c r="I44" s="5" t="s">
        <v>44</v>
      </c>
      <c r="J44" s="5" t="s">
        <v>360</v>
      </c>
      <c r="K44" s="5"/>
      <c r="L44" s="5" t="s">
        <v>183</v>
      </c>
      <c r="M44" s="5" t="s">
        <v>361</v>
      </c>
      <c r="N44" s="5" t="s">
        <v>362</v>
      </c>
      <c r="O44" s="5" t="s">
        <v>363</v>
      </c>
      <c r="P44" s="5" t="s">
        <v>187</v>
      </c>
      <c r="Q44" s="5" t="s">
        <v>109</v>
      </c>
      <c r="R44" s="5"/>
      <c r="S44" s="5" t="s">
        <v>421</v>
      </c>
      <c r="T44" s="5"/>
      <c r="U44" s="5" t="s">
        <v>422</v>
      </c>
      <c r="V44" s="5" t="s">
        <v>68</v>
      </c>
      <c r="W44" s="5" t="s">
        <v>112</v>
      </c>
      <c r="X44" s="5" t="s">
        <v>68</v>
      </c>
    </row>
    <row r="45" customFormat="false" ht="32.8" hidden="false" customHeight="false" outlineLevel="0" collapsed="false">
      <c r="A45" s="5" t="s">
        <v>423</v>
      </c>
      <c r="B45" s="5" t="s">
        <v>424</v>
      </c>
      <c r="C45" s="5" t="s">
        <v>425</v>
      </c>
      <c r="D45" s="5" t="n">
        <v>2023</v>
      </c>
      <c r="E45" s="5" t="s">
        <v>426</v>
      </c>
      <c r="F45" s="5" t="s">
        <v>427</v>
      </c>
      <c r="G45" s="5" t="s">
        <v>75</v>
      </c>
      <c r="H45" s="5" t="s">
        <v>428</v>
      </c>
      <c r="I45" s="5" t="s">
        <v>44</v>
      </c>
      <c r="J45" s="5" t="s">
        <v>429</v>
      </c>
      <c r="K45" s="5"/>
      <c r="L45" s="5" t="s">
        <v>183</v>
      </c>
      <c r="M45" s="5" t="s">
        <v>430</v>
      </c>
      <c r="N45" s="5" t="s">
        <v>431</v>
      </c>
      <c r="O45" s="5" t="s">
        <v>432</v>
      </c>
      <c r="P45" s="5" t="s">
        <v>187</v>
      </c>
      <c r="Q45" s="5" t="s">
        <v>109</v>
      </c>
      <c r="R45" s="5"/>
      <c r="S45" s="5" t="s">
        <v>433</v>
      </c>
      <c r="T45" s="5"/>
      <c r="U45" s="5" t="s">
        <v>434</v>
      </c>
      <c r="V45" s="5" t="s">
        <v>68</v>
      </c>
      <c r="W45" s="5" t="s">
        <v>112</v>
      </c>
      <c r="X45" s="5" t="s">
        <v>68</v>
      </c>
    </row>
    <row r="46" customFormat="false" ht="32.8" hidden="false" customHeight="false" outlineLevel="0" collapsed="false">
      <c r="A46" s="5" t="s">
        <v>435</v>
      </c>
      <c r="B46" s="5" t="s">
        <v>436</v>
      </c>
      <c r="C46" s="5" t="s">
        <v>437</v>
      </c>
      <c r="D46" s="5" t="n">
        <v>2024</v>
      </c>
      <c r="E46" s="5" t="s">
        <v>438</v>
      </c>
      <c r="F46" s="5" t="s">
        <v>439</v>
      </c>
      <c r="G46" s="5" t="s">
        <v>75</v>
      </c>
      <c r="H46" s="5" t="s">
        <v>440</v>
      </c>
      <c r="I46" s="5" t="s">
        <v>44</v>
      </c>
      <c r="J46" s="5" t="s">
        <v>429</v>
      </c>
      <c r="K46" s="5"/>
      <c r="L46" s="5" t="s">
        <v>183</v>
      </c>
      <c r="M46" s="5" t="s">
        <v>430</v>
      </c>
      <c r="N46" s="5" t="s">
        <v>431</v>
      </c>
      <c r="O46" s="5" t="s">
        <v>432</v>
      </c>
      <c r="P46" s="5" t="s">
        <v>187</v>
      </c>
      <c r="Q46" s="5" t="s">
        <v>109</v>
      </c>
      <c r="R46" s="5"/>
      <c r="S46" s="5" t="s">
        <v>441</v>
      </c>
      <c r="T46" s="5" t="s">
        <v>132</v>
      </c>
      <c r="U46" s="5" t="s">
        <v>442</v>
      </c>
      <c r="V46" s="5" t="s">
        <v>68</v>
      </c>
      <c r="W46" s="5" t="s">
        <v>112</v>
      </c>
      <c r="X46" s="5" t="s">
        <v>52</v>
      </c>
    </row>
    <row r="47" customFormat="false" ht="22.35" hidden="false" customHeight="false" outlineLevel="0" collapsed="false">
      <c r="A47" s="5" t="s">
        <v>443</v>
      </c>
      <c r="B47" s="5" t="s">
        <v>444</v>
      </c>
      <c r="C47" s="5" t="s">
        <v>445</v>
      </c>
      <c r="D47" s="5" t="n">
        <v>2024</v>
      </c>
      <c r="E47" s="5" t="s">
        <v>446</v>
      </c>
      <c r="F47" s="5" t="s">
        <v>447</v>
      </c>
      <c r="G47" s="5" t="s">
        <v>75</v>
      </c>
      <c r="H47" s="5" t="s">
        <v>448</v>
      </c>
      <c r="I47" s="5" t="s">
        <v>44</v>
      </c>
      <c r="J47" s="5" t="s">
        <v>429</v>
      </c>
      <c r="K47" s="5"/>
      <c r="L47" s="5" t="s">
        <v>183</v>
      </c>
      <c r="M47" s="5" t="s">
        <v>430</v>
      </c>
      <c r="N47" s="5" t="s">
        <v>431</v>
      </c>
      <c r="O47" s="5" t="s">
        <v>432</v>
      </c>
      <c r="P47" s="5" t="s">
        <v>187</v>
      </c>
      <c r="Q47" s="5" t="s">
        <v>109</v>
      </c>
      <c r="R47" s="5"/>
      <c r="S47" s="5" t="s">
        <v>449</v>
      </c>
      <c r="T47" s="5"/>
      <c r="U47" s="5" t="s">
        <v>450</v>
      </c>
      <c r="V47" s="5" t="s">
        <v>68</v>
      </c>
      <c r="W47" s="5" t="s">
        <v>69</v>
      </c>
      <c r="X47" s="5"/>
    </row>
    <row r="48" customFormat="false" ht="22.35" hidden="false" customHeight="false" outlineLevel="0" collapsed="false">
      <c r="A48" s="5" t="s">
        <v>451</v>
      </c>
      <c r="B48" s="5" t="s">
        <v>452</v>
      </c>
      <c r="C48" s="5" t="s">
        <v>453</v>
      </c>
      <c r="D48" s="5" t="n">
        <v>2025</v>
      </c>
      <c r="E48" s="5" t="s">
        <v>454</v>
      </c>
      <c r="F48" s="5" t="s">
        <v>419</v>
      </c>
      <c r="G48" s="5" t="s">
        <v>75</v>
      </c>
      <c r="H48" s="5" t="s">
        <v>455</v>
      </c>
      <c r="I48" s="5" t="s">
        <v>44</v>
      </c>
      <c r="J48" s="5" t="s">
        <v>429</v>
      </c>
      <c r="K48" s="5"/>
      <c r="L48" s="5" t="s">
        <v>183</v>
      </c>
      <c r="M48" s="5" t="s">
        <v>430</v>
      </c>
      <c r="N48" s="5" t="s">
        <v>431</v>
      </c>
      <c r="O48" s="5" t="s">
        <v>432</v>
      </c>
      <c r="P48" s="5" t="s">
        <v>187</v>
      </c>
      <c r="Q48" s="5" t="s">
        <v>109</v>
      </c>
      <c r="R48" s="5"/>
      <c r="S48" s="5" t="s">
        <v>456</v>
      </c>
      <c r="T48" s="5"/>
      <c r="U48" s="5" t="s">
        <v>457</v>
      </c>
      <c r="V48" s="5" t="s">
        <v>68</v>
      </c>
      <c r="W48" s="5" t="s">
        <v>112</v>
      </c>
      <c r="X48" s="5" t="s">
        <v>68</v>
      </c>
    </row>
    <row r="49" customFormat="false" ht="22.35" hidden="false" customHeight="false" outlineLevel="0" collapsed="false">
      <c r="A49" s="5" t="s">
        <v>458</v>
      </c>
      <c r="B49" s="5" t="s">
        <v>459</v>
      </c>
      <c r="C49" s="5" t="s">
        <v>460</v>
      </c>
      <c r="D49" s="5" t="n">
        <v>2025</v>
      </c>
      <c r="E49" s="5" t="s">
        <v>461</v>
      </c>
      <c r="F49" s="5" t="s">
        <v>419</v>
      </c>
      <c r="G49" s="5" t="s">
        <v>75</v>
      </c>
      <c r="H49" s="5" t="s">
        <v>462</v>
      </c>
      <c r="I49" s="5" t="s">
        <v>44</v>
      </c>
      <c r="J49" s="5" t="s">
        <v>429</v>
      </c>
      <c r="K49" s="5"/>
      <c r="L49" s="5" t="s">
        <v>183</v>
      </c>
      <c r="M49" s="5" t="s">
        <v>430</v>
      </c>
      <c r="N49" s="5" t="s">
        <v>431</v>
      </c>
      <c r="O49" s="5" t="s">
        <v>432</v>
      </c>
      <c r="P49" s="5" t="s">
        <v>187</v>
      </c>
      <c r="Q49" s="5" t="s">
        <v>109</v>
      </c>
      <c r="R49" s="5"/>
      <c r="S49" s="5" t="s">
        <v>463</v>
      </c>
      <c r="T49" s="5"/>
      <c r="U49" s="5" t="s">
        <v>464</v>
      </c>
      <c r="V49" s="5" t="s">
        <v>68</v>
      </c>
      <c r="W49" s="5" t="s">
        <v>112</v>
      </c>
      <c r="X49" s="5" t="s">
        <v>68</v>
      </c>
    </row>
    <row r="50" customFormat="false" ht="32.8" hidden="false" customHeight="false" outlineLevel="0" collapsed="false">
      <c r="A50" s="5" t="s">
        <v>465</v>
      </c>
      <c r="B50" s="5" t="s">
        <v>466</v>
      </c>
      <c r="C50" s="5" t="s">
        <v>467</v>
      </c>
      <c r="D50" s="5" t="n">
        <v>2024</v>
      </c>
      <c r="E50" s="5" t="s">
        <v>468</v>
      </c>
      <c r="F50" s="5" t="s">
        <v>469</v>
      </c>
      <c r="G50" s="5" t="s">
        <v>75</v>
      </c>
      <c r="H50" s="5" t="s">
        <v>470</v>
      </c>
      <c r="I50" s="5" t="s">
        <v>44</v>
      </c>
      <c r="J50" s="5" t="s">
        <v>429</v>
      </c>
      <c r="K50" s="5"/>
      <c r="L50" s="5" t="s">
        <v>183</v>
      </c>
      <c r="M50" s="5" t="s">
        <v>430</v>
      </c>
      <c r="N50" s="5" t="s">
        <v>431</v>
      </c>
      <c r="O50" s="5" t="s">
        <v>432</v>
      </c>
      <c r="P50" s="5" t="s">
        <v>187</v>
      </c>
      <c r="Q50" s="5" t="s">
        <v>109</v>
      </c>
      <c r="R50" s="5"/>
      <c r="S50" s="5" t="s">
        <v>471</v>
      </c>
      <c r="T50" s="5" t="s">
        <v>132</v>
      </c>
      <c r="U50" s="5" t="s">
        <v>472</v>
      </c>
      <c r="V50" s="5" t="s">
        <v>68</v>
      </c>
      <c r="W50" s="5" t="s">
        <v>69</v>
      </c>
      <c r="X50" s="5"/>
    </row>
    <row r="51" customFormat="false" ht="32.8" hidden="false" customHeight="false" outlineLevel="0" collapsed="false">
      <c r="A51" s="5" t="s">
        <v>473</v>
      </c>
      <c r="B51" s="5" t="s">
        <v>474</v>
      </c>
      <c r="C51" s="5" t="s">
        <v>475</v>
      </c>
      <c r="D51" s="5" t="n">
        <v>2024</v>
      </c>
      <c r="E51" s="5" t="s">
        <v>476</v>
      </c>
      <c r="F51" s="5" t="s">
        <v>350</v>
      </c>
      <c r="G51" s="5" t="s">
        <v>75</v>
      </c>
      <c r="H51" s="5" t="s">
        <v>477</v>
      </c>
      <c r="I51" s="5" t="s">
        <v>44</v>
      </c>
      <c r="J51" s="5" t="s">
        <v>429</v>
      </c>
      <c r="K51" s="5"/>
      <c r="L51" s="5" t="s">
        <v>183</v>
      </c>
      <c r="M51" s="5" t="s">
        <v>430</v>
      </c>
      <c r="N51" s="5" t="s">
        <v>431</v>
      </c>
      <c r="O51" s="5" t="s">
        <v>432</v>
      </c>
      <c r="P51" s="5" t="s">
        <v>187</v>
      </c>
      <c r="Q51" s="5" t="s">
        <v>109</v>
      </c>
      <c r="R51" s="5"/>
      <c r="S51" s="5" t="s">
        <v>478</v>
      </c>
      <c r="T51" s="5"/>
      <c r="U51" s="5" t="s">
        <v>479</v>
      </c>
      <c r="V51" s="5" t="s">
        <v>68</v>
      </c>
      <c r="W51" s="5" t="s">
        <v>69</v>
      </c>
      <c r="X51" s="5"/>
    </row>
    <row r="52" customFormat="false" ht="22.35" hidden="false" customHeight="false" outlineLevel="0" collapsed="false">
      <c r="A52" s="5" t="s">
        <v>480</v>
      </c>
      <c r="B52" s="5" t="s">
        <v>481</v>
      </c>
      <c r="C52" s="5" t="s">
        <v>482</v>
      </c>
      <c r="D52" s="5" t="n">
        <v>2025</v>
      </c>
      <c r="E52" s="5" t="s">
        <v>483</v>
      </c>
      <c r="F52" s="5" t="s">
        <v>317</v>
      </c>
      <c r="G52" s="5" t="s">
        <v>75</v>
      </c>
      <c r="H52" s="5" t="s">
        <v>484</v>
      </c>
      <c r="I52" s="5" t="s">
        <v>44</v>
      </c>
      <c r="J52" s="5" t="s">
        <v>429</v>
      </c>
      <c r="K52" s="5"/>
      <c r="L52" s="5" t="s">
        <v>183</v>
      </c>
      <c r="M52" s="5" t="s">
        <v>430</v>
      </c>
      <c r="N52" s="5" t="s">
        <v>431</v>
      </c>
      <c r="O52" s="5" t="s">
        <v>432</v>
      </c>
      <c r="P52" s="5" t="s">
        <v>187</v>
      </c>
      <c r="Q52" s="5" t="s">
        <v>109</v>
      </c>
      <c r="R52" s="5"/>
      <c r="S52" s="5" t="s">
        <v>485</v>
      </c>
      <c r="T52" s="5"/>
      <c r="U52" s="5" t="s">
        <v>486</v>
      </c>
      <c r="V52" s="5" t="s">
        <v>68</v>
      </c>
      <c r="W52" s="5" t="s">
        <v>69</v>
      </c>
      <c r="X52" s="5"/>
    </row>
    <row r="53" customFormat="false" ht="22.35" hidden="false" customHeight="false" outlineLevel="0" collapsed="false">
      <c r="A53" s="5" t="s">
        <v>487</v>
      </c>
      <c r="B53" s="5" t="s">
        <v>488</v>
      </c>
      <c r="C53" s="5" t="s">
        <v>489</v>
      </c>
      <c r="D53" s="5" t="n">
        <v>2022</v>
      </c>
      <c r="E53" s="5" t="s">
        <v>490</v>
      </c>
      <c r="F53" s="5" t="s">
        <v>491</v>
      </c>
      <c r="G53" s="5" t="s">
        <v>75</v>
      </c>
      <c r="H53" s="5" t="s">
        <v>492</v>
      </c>
      <c r="I53" s="5" t="s">
        <v>44</v>
      </c>
      <c r="J53" s="5" t="s">
        <v>493</v>
      </c>
      <c r="K53" s="5"/>
      <c r="L53" s="5" t="s">
        <v>183</v>
      </c>
      <c r="M53" s="5" t="s">
        <v>494</v>
      </c>
      <c r="N53" s="5" t="s">
        <v>495</v>
      </c>
      <c r="O53" s="5" t="s">
        <v>496</v>
      </c>
      <c r="P53" s="5" t="s">
        <v>187</v>
      </c>
      <c r="Q53" s="5" t="s">
        <v>109</v>
      </c>
      <c r="R53" s="5"/>
      <c r="S53" s="5" t="s">
        <v>497</v>
      </c>
      <c r="T53" s="5"/>
      <c r="U53" s="5" t="s">
        <v>498</v>
      </c>
      <c r="V53" s="5" t="s">
        <v>68</v>
      </c>
      <c r="W53" s="5" t="s">
        <v>112</v>
      </c>
      <c r="X53" s="5" t="s">
        <v>68</v>
      </c>
    </row>
    <row r="54" customFormat="false" ht="32.8" hidden="false" customHeight="false" outlineLevel="0" collapsed="false">
      <c r="A54" s="5" t="s">
        <v>499</v>
      </c>
      <c r="B54" s="5" t="s">
        <v>500</v>
      </c>
      <c r="C54" s="5" t="s">
        <v>501</v>
      </c>
      <c r="D54" s="5" t="n">
        <v>2025</v>
      </c>
      <c r="E54" s="5" t="s">
        <v>502</v>
      </c>
      <c r="F54" s="5" t="s">
        <v>503</v>
      </c>
      <c r="G54" s="5" t="s">
        <v>75</v>
      </c>
      <c r="H54" s="5" t="s">
        <v>504</v>
      </c>
      <c r="I54" s="5" t="s">
        <v>44</v>
      </c>
      <c r="J54" s="5" t="s">
        <v>493</v>
      </c>
      <c r="K54" s="5"/>
      <c r="L54" s="5" t="s">
        <v>183</v>
      </c>
      <c r="M54" s="5" t="s">
        <v>494</v>
      </c>
      <c r="N54" s="5" t="s">
        <v>495</v>
      </c>
      <c r="O54" s="5" t="s">
        <v>496</v>
      </c>
      <c r="P54" s="5" t="s">
        <v>187</v>
      </c>
      <c r="Q54" s="5" t="s">
        <v>109</v>
      </c>
      <c r="R54" s="5"/>
      <c r="S54" s="5" t="s">
        <v>505</v>
      </c>
      <c r="T54" s="5"/>
      <c r="U54" s="5" t="s">
        <v>506</v>
      </c>
      <c r="V54" s="5" t="s">
        <v>68</v>
      </c>
      <c r="W54" s="5" t="s">
        <v>112</v>
      </c>
      <c r="X54" s="5" t="s">
        <v>68</v>
      </c>
    </row>
    <row r="55" customFormat="false" ht="22.35" hidden="false" customHeight="false" outlineLevel="0" collapsed="false">
      <c r="A55" s="5" t="s">
        <v>507</v>
      </c>
      <c r="B55" s="5" t="s">
        <v>508</v>
      </c>
      <c r="C55" s="5" t="s">
        <v>509</v>
      </c>
      <c r="D55" s="5" t="n">
        <v>2025</v>
      </c>
      <c r="E55" s="5" t="s">
        <v>510</v>
      </c>
      <c r="F55" s="5" t="s">
        <v>419</v>
      </c>
      <c r="G55" s="5" t="s">
        <v>75</v>
      </c>
      <c r="H55" s="5" t="s">
        <v>511</v>
      </c>
      <c r="I55" s="5" t="s">
        <v>44</v>
      </c>
      <c r="J55" s="5" t="s">
        <v>493</v>
      </c>
      <c r="K55" s="5"/>
      <c r="L55" s="5" t="s">
        <v>183</v>
      </c>
      <c r="M55" s="5" t="s">
        <v>494</v>
      </c>
      <c r="N55" s="5" t="s">
        <v>495</v>
      </c>
      <c r="O55" s="5" t="s">
        <v>496</v>
      </c>
      <c r="P55" s="5" t="s">
        <v>187</v>
      </c>
      <c r="Q55" s="5" t="s">
        <v>109</v>
      </c>
      <c r="R55" s="5"/>
      <c r="S55" s="5" t="s">
        <v>512</v>
      </c>
      <c r="T55" s="5"/>
      <c r="U55" s="5" t="s">
        <v>513</v>
      </c>
      <c r="V55" s="5" t="s">
        <v>68</v>
      </c>
      <c r="W55" s="5" t="s">
        <v>69</v>
      </c>
      <c r="X55" s="5"/>
    </row>
    <row r="56" customFormat="false" ht="32.8" hidden="false" customHeight="false" outlineLevel="0" collapsed="false">
      <c r="A56" s="5" t="s">
        <v>514</v>
      </c>
      <c r="B56" s="5" t="s">
        <v>515</v>
      </c>
      <c r="C56" s="5" t="s">
        <v>516</v>
      </c>
      <c r="D56" s="5" t="n">
        <v>2024</v>
      </c>
      <c r="E56" s="5" t="s">
        <v>517</v>
      </c>
      <c r="F56" s="5" t="s">
        <v>350</v>
      </c>
      <c r="G56" s="5" t="s">
        <v>75</v>
      </c>
      <c r="H56" s="5" t="s">
        <v>518</v>
      </c>
      <c r="I56" s="5" t="s">
        <v>44</v>
      </c>
      <c r="J56" s="5" t="s">
        <v>493</v>
      </c>
      <c r="K56" s="5" t="s">
        <v>519</v>
      </c>
      <c r="L56" s="5" t="s">
        <v>183</v>
      </c>
      <c r="M56" s="5" t="s">
        <v>494</v>
      </c>
      <c r="N56" s="5" t="s">
        <v>495</v>
      </c>
      <c r="O56" s="5" t="s">
        <v>496</v>
      </c>
      <c r="P56" s="5" t="s">
        <v>520</v>
      </c>
      <c r="Q56" s="5" t="s">
        <v>109</v>
      </c>
      <c r="R56" s="5"/>
      <c r="S56" s="5" t="s">
        <v>521</v>
      </c>
      <c r="T56" s="5"/>
      <c r="U56" s="5" t="s">
        <v>522</v>
      </c>
      <c r="V56" s="5" t="s">
        <v>68</v>
      </c>
      <c r="W56" s="5" t="s">
        <v>69</v>
      </c>
      <c r="X56" s="5"/>
    </row>
    <row r="57" customFormat="false" ht="32.8" hidden="false" customHeight="false" outlineLevel="0" collapsed="false">
      <c r="A57" s="5" t="s">
        <v>523</v>
      </c>
      <c r="B57" s="5" t="s">
        <v>524</v>
      </c>
      <c r="C57" s="5" t="s">
        <v>525</v>
      </c>
      <c r="D57" s="5" t="n">
        <v>2024</v>
      </c>
      <c r="E57" s="5" t="s">
        <v>526</v>
      </c>
      <c r="F57" s="5" t="s">
        <v>419</v>
      </c>
      <c r="G57" s="5" t="s">
        <v>75</v>
      </c>
      <c r="H57" s="5" t="s">
        <v>527</v>
      </c>
      <c r="I57" s="5" t="s">
        <v>44</v>
      </c>
      <c r="J57" s="5" t="s">
        <v>493</v>
      </c>
      <c r="K57" s="5"/>
      <c r="L57" s="5" t="s">
        <v>183</v>
      </c>
      <c r="M57" s="5" t="s">
        <v>494</v>
      </c>
      <c r="N57" s="5" t="s">
        <v>495</v>
      </c>
      <c r="O57" s="5" t="s">
        <v>496</v>
      </c>
      <c r="P57" s="5" t="s">
        <v>187</v>
      </c>
      <c r="Q57" s="5" t="s">
        <v>109</v>
      </c>
      <c r="R57" s="5"/>
      <c r="S57" s="5" t="s">
        <v>528</v>
      </c>
      <c r="T57" s="5"/>
      <c r="U57" s="5" t="s">
        <v>529</v>
      </c>
      <c r="V57" s="5" t="s">
        <v>68</v>
      </c>
      <c r="W57" s="5" t="s">
        <v>112</v>
      </c>
      <c r="X57" s="5" t="s">
        <v>68</v>
      </c>
    </row>
    <row r="58" customFormat="false" ht="22.35" hidden="false" customHeight="false" outlineLevel="0" collapsed="false">
      <c r="A58" s="5" t="s">
        <v>530</v>
      </c>
      <c r="B58" s="5" t="s">
        <v>531</v>
      </c>
      <c r="C58" s="5" t="s">
        <v>532</v>
      </c>
      <c r="D58" s="5" t="n">
        <v>2025</v>
      </c>
      <c r="E58" s="5" t="s">
        <v>533</v>
      </c>
      <c r="F58" s="5" t="s">
        <v>534</v>
      </c>
      <c r="G58" s="5" t="s">
        <v>75</v>
      </c>
      <c r="H58" s="5" t="s">
        <v>535</v>
      </c>
      <c r="I58" s="5" t="s">
        <v>44</v>
      </c>
      <c r="J58" s="5" t="s">
        <v>493</v>
      </c>
      <c r="K58" s="5"/>
      <c r="L58" s="5" t="s">
        <v>183</v>
      </c>
      <c r="M58" s="5" t="s">
        <v>494</v>
      </c>
      <c r="N58" s="5" t="s">
        <v>495</v>
      </c>
      <c r="O58" s="5" t="s">
        <v>496</v>
      </c>
      <c r="P58" s="5" t="s">
        <v>187</v>
      </c>
      <c r="Q58" s="5" t="s">
        <v>109</v>
      </c>
      <c r="R58" s="5"/>
      <c r="S58" s="5" t="s">
        <v>536</v>
      </c>
      <c r="T58" s="5"/>
      <c r="U58" s="5" t="s">
        <v>537</v>
      </c>
      <c r="V58" s="5" t="s">
        <v>68</v>
      </c>
      <c r="W58" s="5" t="s">
        <v>69</v>
      </c>
      <c r="X58" s="5"/>
    </row>
    <row r="59" customFormat="false" ht="22.35" hidden="false" customHeight="false" outlineLevel="0" collapsed="false">
      <c r="A59" s="5" t="s">
        <v>538</v>
      </c>
      <c r="B59" s="5" t="s">
        <v>539</v>
      </c>
      <c r="C59" s="5" t="s">
        <v>540</v>
      </c>
      <c r="D59" s="5" t="n">
        <v>2025</v>
      </c>
      <c r="E59" s="5" t="s">
        <v>541</v>
      </c>
      <c r="F59" s="5" t="s">
        <v>419</v>
      </c>
      <c r="G59" s="5" t="s">
        <v>75</v>
      </c>
      <c r="H59" s="5" t="s">
        <v>542</v>
      </c>
      <c r="I59" s="5" t="s">
        <v>44</v>
      </c>
      <c r="J59" s="5" t="s">
        <v>493</v>
      </c>
      <c r="K59" s="5"/>
      <c r="L59" s="5" t="s">
        <v>183</v>
      </c>
      <c r="M59" s="5" t="s">
        <v>494</v>
      </c>
      <c r="N59" s="5" t="s">
        <v>495</v>
      </c>
      <c r="O59" s="5" t="s">
        <v>496</v>
      </c>
      <c r="P59" s="5" t="s">
        <v>187</v>
      </c>
      <c r="Q59" s="5" t="s">
        <v>109</v>
      </c>
      <c r="R59" s="5"/>
      <c r="S59" s="5" t="s">
        <v>543</v>
      </c>
      <c r="T59" s="5"/>
      <c r="U59" s="5" t="s">
        <v>544</v>
      </c>
      <c r="V59" s="5" t="s">
        <v>68</v>
      </c>
      <c r="W59" s="5" t="s">
        <v>112</v>
      </c>
      <c r="X59" s="5" t="s">
        <v>52</v>
      </c>
    </row>
    <row r="60" customFormat="false" ht="22.35" hidden="false" customHeight="false" outlineLevel="0" collapsed="false">
      <c r="A60" s="5" t="s">
        <v>545</v>
      </c>
      <c r="B60" s="5" t="s">
        <v>546</v>
      </c>
      <c r="C60" s="5" t="s">
        <v>547</v>
      </c>
      <c r="D60" s="5" t="n">
        <v>2025</v>
      </c>
      <c r="E60" s="5" t="s">
        <v>548</v>
      </c>
      <c r="F60" s="5" t="s">
        <v>419</v>
      </c>
      <c r="G60" s="5" t="s">
        <v>75</v>
      </c>
      <c r="H60" s="5" t="s">
        <v>549</v>
      </c>
      <c r="I60" s="5" t="s">
        <v>44</v>
      </c>
      <c r="J60" s="5" t="s">
        <v>493</v>
      </c>
      <c r="K60" s="5"/>
      <c r="L60" s="5" t="s">
        <v>183</v>
      </c>
      <c r="M60" s="5" t="s">
        <v>494</v>
      </c>
      <c r="N60" s="5" t="s">
        <v>495</v>
      </c>
      <c r="O60" s="5" t="s">
        <v>496</v>
      </c>
      <c r="P60" s="5" t="s">
        <v>187</v>
      </c>
      <c r="Q60" s="5" t="s">
        <v>109</v>
      </c>
      <c r="R60" s="5"/>
      <c r="S60" s="5" t="s">
        <v>550</v>
      </c>
      <c r="T60" s="5"/>
      <c r="U60" s="5" t="s">
        <v>551</v>
      </c>
      <c r="V60" s="5" t="s">
        <v>68</v>
      </c>
      <c r="W60" s="5" t="s">
        <v>69</v>
      </c>
      <c r="X60" s="5"/>
    </row>
    <row r="61" customFormat="false" ht="43.25" hidden="false" customHeight="false" outlineLevel="0" collapsed="false">
      <c r="A61" s="5" t="s">
        <v>552</v>
      </c>
      <c r="B61" s="5" t="s">
        <v>553</v>
      </c>
      <c r="C61" s="5" t="s">
        <v>554</v>
      </c>
      <c r="D61" s="5" t="n">
        <v>1997</v>
      </c>
      <c r="E61" s="5" t="s">
        <v>555</v>
      </c>
      <c r="F61" s="5" t="s">
        <v>556</v>
      </c>
      <c r="G61" s="5" t="s">
        <v>75</v>
      </c>
      <c r="H61" s="5" t="s">
        <v>557</v>
      </c>
      <c r="I61" s="5" t="s">
        <v>558</v>
      </c>
      <c r="J61" s="5" t="s">
        <v>559</v>
      </c>
      <c r="K61" s="5" t="s">
        <v>519</v>
      </c>
      <c r="L61" s="5" t="s">
        <v>560</v>
      </c>
      <c r="M61" s="5" t="s">
        <v>561</v>
      </c>
      <c r="N61" s="5" t="s">
        <v>562</v>
      </c>
      <c r="O61" s="5" t="s">
        <v>563</v>
      </c>
      <c r="P61" s="5" t="s">
        <v>564</v>
      </c>
      <c r="Q61" s="5" t="s">
        <v>49</v>
      </c>
      <c r="R61" s="5"/>
      <c r="S61" s="5" t="s">
        <v>565</v>
      </c>
      <c r="T61" s="5" t="s">
        <v>566</v>
      </c>
      <c r="U61" s="5" t="s">
        <v>567</v>
      </c>
      <c r="V61" s="5" t="s">
        <v>52</v>
      </c>
      <c r="W61" s="5"/>
      <c r="X61" s="5"/>
    </row>
    <row r="62" customFormat="false" ht="22.35" hidden="false" customHeight="false" outlineLevel="0" collapsed="false">
      <c r="A62" s="5" t="s">
        <v>568</v>
      </c>
      <c r="B62" s="5" t="s">
        <v>569</v>
      </c>
      <c r="C62" s="5" t="s">
        <v>570</v>
      </c>
      <c r="D62" s="5" t="n">
        <v>2023</v>
      </c>
      <c r="E62" s="5" t="s">
        <v>571</v>
      </c>
      <c r="F62" s="5" t="s">
        <v>572</v>
      </c>
      <c r="G62" s="5" t="s">
        <v>75</v>
      </c>
      <c r="H62" s="5" t="s">
        <v>573</v>
      </c>
      <c r="I62" s="5" t="s">
        <v>558</v>
      </c>
      <c r="J62" s="5" t="s">
        <v>559</v>
      </c>
      <c r="K62" s="5"/>
      <c r="L62" s="5" t="s">
        <v>560</v>
      </c>
      <c r="M62" s="5" t="s">
        <v>561</v>
      </c>
      <c r="N62" s="5" t="s">
        <v>562</v>
      </c>
      <c r="O62" s="5" t="s">
        <v>563</v>
      </c>
      <c r="P62" s="5" t="s">
        <v>574</v>
      </c>
      <c r="Q62" s="5" t="s">
        <v>49</v>
      </c>
      <c r="R62" s="5"/>
      <c r="S62" s="5" t="s">
        <v>575</v>
      </c>
      <c r="T62" s="5"/>
      <c r="U62" s="5" t="s">
        <v>576</v>
      </c>
      <c r="V62" s="5" t="s">
        <v>68</v>
      </c>
      <c r="W62" s="5" t="s">
        <v>69</v>
      </c>
      <c r="X62" s="5"/>
    </row>
    <row r="63" customFormat="false" ht="22.35" hidden="false" customHeight="false" outlineLevel="0" collapsed="false">
      <c r="A63" s="5" t="s">
        <v>577</v>
      </c>
      <c r="B63" s="5" t="s">
        <v>578</v>
      </c>
      <c r="C63" s="5" t="s">
        <v>579</v>
      </c>
      <c r="D63" s="5" t="n">
        <v>1989</v>
      </c>
      <c r="E63" s="5" t="s">
        <v>580</v>
      </c>
      <c r="F63" s="5" t="s">
        <v>581</v>
      </c>
      <c r="G63" s="5" t="s">
        <v>75</v>
      </c>
      <c r="H63" s="5" t="s">
        <v>582</v>
      </c>
      <c r="I63" s="5" t="s">
        <v>558</v>
      </c>
      <c r="J63" s="5" t="s">
        <v>559</v>
      </c>
      <c r="K63" s="5"/>
      <c r="L63" s="5" t="s">
        <v>560</v>
      </c>
      <c r="M63" s="5" t="s">
        <v>561</v>
      </c>
      <c r="N63" s="5" t="s">
        <v>562</v>
      </c>
      <c r="O63" s="5" t="s">
        <v>563</v>
      </c>
      <c r="P63" s="5" t="s">
        <v>574</v>
      </c>
      <c r="Q63" s="5" t="s">
        <v>49</v>
      </c>
      <c r="R63" s="5"/>
      <c r="S63" s="5" t="s">
        <v>583</v>
      </c>
      <c r="T63" s="5"/>
      <c r="U63" s="5" t="s">
        <v>584</v>
      </c>
      <c r="V63" s="5" t="s">
        <v>52</v>
      </c>
      <c r="W63" s="5"/>
      <c r="X63" s="5"/>
    </row>
    <row r="64" customFormat="false" ht="22.35" hidden="false" customHeight="false" outlineLevel="0" collapsed="false">
      <c r="A64" s="5" t="s">
        <v>585</v>
      </c>
      <c r="B64" s="5" t="s">
        <v>586</v>
      </c>
      <c r="C64" s="5" t="s">
        <v>587</v>
      </c>
      <c r="D64" s="5" t="n">
        <v>1991</v>
      </c>
      <c r="E64" s="5" t="s">
        <v>588</v>
      </c>
      <c r="F64" s="5" t="s">
        <v>581</v>
      </c>
      <c r="G64" s="5" t="s">
        <v>75</v>
      </c>
      <c r="H64" s="5" t="s">
        <v>589</v>
      </c>
      <c r="I64" s="5" t="s">
        <v>558</v>
      </c>
      <c r="J64" s="5" t="s">
        <v>559</v>
      </c>
      <c r="K64" s="5"/>
      <c r="L64" s="5" t="s">
        <v>560</v>
      </c>
      <c r="M64" s="5" t="s">
        <v>561</v>
      </c>
      <c r="N64" s="5" t="s">
        <v>562</v>
      </c>
      <c r="O64" s="5" t="s">
        <v>563</v>
      </c>
      <c r="P64" s="5" t="s">
        <v>574</v>
      </c>
      <c r="Q64" s="5" t="s">
        <v>49</v>
      </c>
      <c r="R64" s="5"/>
      <c r="S64" s="5" t="s">
        <v>590</v>
      </c>
      <c r="T64" s="5"/>
      <c r="U64" s="5" t="s">
        <v>591</v>
      </c>
      <c r="V64" s="5" t="s">
        <v>52</v>
      </c>
      <c r="W64" s="5"/>
      <c r="X64" s="5"/>
    </row>
    <row r="65" customFormat="false" ht="22.35" hidden="false" customHeight="false" outlineLevel="0" collapsed="false">
      <c r="A65" s="5" t="s">
        <v>592</v>
      </c>
      <c r="B65" s="5" t="s">
        <v>593</v>
      </c>
      <c r="C65" s="5" t="s">
        <v>594</v>
      </c>
      <c r="D65" s="5" t="n">
        <v>2022</v>
      </c>
      <c r="E65" s="5" t="s">
        <v>595</v>
      </c>
      <c r="F65" s="5" t="s">
        <v>596</v>
      </c>
      <c r="G65" s="5" t="s">
        <v>75</v>
      </c>
      <c r="H65" s="5" t="s">
        <v>597</v>
      </c>
      <c r="I65" s="5" t="s">
        <v>558</v>
      </c>
      <c r="J65" s="5" t="s">
        <v>559</v>
      </c>
      <c r="K65" s="5"/>
      <c r="L65" s="5" t="s">
        <v>560</v>
      </c>
      <c r="M65" s="5" t="s">
        <v>561</v>
      </c>
      <c r="N65" s="5" t="s">
        <v>562</v>
      </c>
      <c r="O65" s="5" t="s">
        <v>563</v>
      </c>
      <c r="P65" s="5" t="s">
        <v>574</v>
      </c>
      <c r="Q65" s="5" t="s">
        <v>109</v>
      </c>
      <c r="R65" s="5"/>
      <c r="S65" s="5" t="s">
        <v>598</v>
      </c>
      <c r="T65" s="5"/>
      <c r="U65" s="5" t="s">
        <v>599</v>
      </c>
      <c r="V65" s="5" t="s">
        <v>68</v>
      </c>
      <c r="W65" s="5" t="s">
        <v>69</v>
      </c>
      <c r="X65" s="5"/>
    </row>
    <row r="66" customFormat="false" ht="22.35" hidden="false" customHeight="false" outlineLevel="0" collapsed="false">
      <c r="A66" s="5" t="s">
        <v>600</v>
      </c>
      <c r="B66" s="5" t="s">
        <v>601</v>
      </c>
      <c r="C66" s="5" t="s">
        <v>602</v>
      </c>
      <c r="D66" s="5" t="n">
        <v>2026</v>
      </c>
      <c r="E66" s="5" t="s">
        <v>603</v>
      </c>
      <c r="F66" s="5" t="s">
        <v>604</v>
      </c>
      <c r="G66" s="5" t="s">
        <v>75</v>
      </c>
      <c r="H66" s="5" t="s">
        <v>605</v>
      </c>
      <c r="I66" s="5" t="s">
        <v>558</v>
      </c>
      <c r="J66" s="5" t="s">
        <v>559</v>
      </c>
      <c r="K66" s="5"/>
      <c r="L66" s="5" t="s">
        <v>560</v>
      </c>
      <c r="M66" s="5" t="s">
        <v>561</v>
      </c>
      <c r="N66" s="5" t="s">
        <v>562</v>
      </c>
      <c r="O66" s="5" t="s">
        <v>563</v>
      </c>
      <c r="P66" s="5" t="s">
        <v>574</v>
      </c>
      <c r="Q66" s="5" t="s">
        <v>109</v>
      </c>
      <c r="R66" s="5"/>
      <c r="S66" s="5" t="s">
        <v>606</v>
      </c>
      <c r="T66" s="5"/>
      <c r="U66" s="5" t="s">
        <v>607</v>
      </c>
      <c r="V66" s="5" t="s">
        <v>68</v>
      </c>
      <c r="W66" s="5" t="s">
        <v>112</v>
      </c>
      <c r="X66" s="5" t="s">
        <v>68</v>
      </c>
    </row>
    <row r="67" customFormat="false" ht="22.35" hidden="false" customHeight="false" outlineLevel="0" collapsed="false">
      <c r="A67" s="5" t="s">
        <v>608</v>
      </c>
      <c r="B67" s="5" t="s">
        <v>609</v>
      </c>
      <c r="C67" s="5" t="s">
        <v>610</v>
      </c>
      <c r="D67" s="5" t="n">
        <v>2007</v>
      </c>
      <c r="E67" s="5" t="s">
        <v>611</v>
      </c>
      <c r="F67" s="5" t="s">
        <v>612</v>
      </c>
      <c r="G67" s="5" t="s">
        <v>613</v>
      </c>
      <c r="H67" s="5" t="s">
        <v>614</v>
      </c>
      <c r="I67" s="5" t="s">
        <v>558</v>
      </c>
      <c r="J67" s="5" t="s">
        <v>559</v>
      </c>
      <c r="K67" s="5"/>
      <c r="L67" s="5" t="s">
        <v>560</v>
      </c>
      <c r="M67" s="5" t="s">
        <v>561</v>
      </c>
      <c r="N67" s="5" t="s">
        <v>562</v>
      </c>
      <c r="O67" s="5" t="s">
        <v>563</v>
      </c>
      <c r="P67" s="5" t="s">
        <v>574</v>
      </c>
      <c r="Q67" s="5" t="s">
        <v>49</v>
      </c>
      <c r="R67" s="5"/>
      <c r="S67" s="5" t="s">
        <v>615</v>
      </c>
      <c r="T67" s="5"/>
      <c r="U67" s="5" t="s">
        <v>616</v>
      </c>
      <c r="V67" s="5" t="s">
        <v>52</v>
      </c>
      <c r="W67" s="5"/>
      <c r="X67" s="5"/>
    </row>
    <row r="68" customFormat="false" ht="32.8" hidden="false" customHeight="false" outlineLevel="0" collapsed="false">
      <c r="A68" s="5" t="s">
        <v>617</v>
      </c>
      <c r="B68" s="5" t="s">
        <v>618</v>
      </c>
      <c r="C68" s="5" t="s">
        <v>619</v>
      </c>
      <c r="D68" s="5" t="n">
        <v>2025</v>
      </c>
      <c r="E68" s="5" t="s">
        <v>620</v>
      </c>
      <c r="F68" s="5" t="s">
        <v>621</v>
      </c>
      <c r="G68" s="5" t="s">
        <v>64</v>
      </c>
      <c r="H68" s="5" t="s">
        <v>622</v>
      </c>
      <c r="I68" s="5" t="s">
        <v>558</v>
      </c>
      <c r="J68" s="5" t="s">
        <v>559</v>
      </c>
      <c r="K68" s="5" t="s">
        <v>519</v>
      </c>
      <c r="L68" s="5" t="s">
        <v>560</v>
      </c>
      <c r="M68" s="5" t="s">
        <v>561</v>
      </c>
      <c r="N68" s="5" t="s">
        <v>562</v>
      </c>
      <c r="O68" s="5" t="s">
        <v>563</v>
      </c>
      <c r="P68" s="5" t="s">
        <v>623</v>
      </c>
      <c r="Q68" s="5" t="s">
        <v>109</v>
      </c>
      <c r="R68" s="5"/>
      <c r="S68" s="5" t="s">
        <v>624</v>
      </c>
      <c r="T68" s="5"/>
      <c r="U68" s="5" t="s">
        <v>625</v>
      </c>
      <c r="V68" s="5" t="s">
        <v>68</v>
      </c>
      <c r="W68" s="5" t="s">
        <v>112</v>
      </c>
      <c r="X68" s="5" t="s">
        <v>68</v>
      </c>
    </row>
    <row r="69" customFormat="false" ht="22.35" hidden="false" customHeight="false" outlineLevel="0" collapsed="false">
      <c r="A69" s="5" t="s">
        <v>626</v>
      </c>
      <c r="B69" s="5" t="s">
        <v>627</v>
      </c>
      <c r="C69" s="5" t="s">
        <v>628</v>
      </c>
      <c r="D69" s="5" t="n">
        <v>1982</v>
      </c>
      <c r="E69" s="5" t="s">
        <v>629</v>
      </c>
      <c r="F69" s="5" t="s">
        <v>630</v>
      </c>
      <c r="G69" s="5" t="s">
        <v>75</v>
      </c>
      <c r="H69" s="5" t="s">
        <v>631</v>
      </c>
      <c r="I69" s="5" t="s">
        <v>558</v>
      </c>
      <c r="J69" s="5" t="s">
        <v>632</v>
      </c>
      <c r="K69" s="5"/>
      <c r="L69" s="5" t="s">
        <v>560</v>
      </c>
      <c r="M69" s="5" t="s">
        <v>633</v>
      </c>
      <c r="N69" s="5" t="s">
        <v>634</v>
      </c>
      <c r="O69" s="5" t="s">
        <v>635</v>
      </c>
      <c r="P69" s="5" t="s">
        <v>574</v>
      </c>
      <c r="Q69" s="5" t="s">
        <v>49</v>
      </c>
      <c r="R69" s="5"/>
      <c r="S69" s="5" t="s">
        <v>636</v>
      </c>
      <c r="T69" s="5"/>
      <c r="U69" s="5" t="s">
        <v>637</v>
      </c>
      <c r="V69" s="5" t="s">
        <v>52</v>
      </c>
      <c r="W69" s="5"/>
      <c r="X69" s="5"/>
    </row>
    <row r="70" customFormat="false" ht="22.35" hidden="false" customHeight="false" outlineLevel="0" collapsed="false">
      <c r="A70" s="5" t="s">
        <v>638</v>
      </c>
      <c r="B70" s="5" t="s">
        <v>639</v>
      </c>
      <c r="C70" s="5" t="s">
        <v>640</v>
      </c>
      <c r="D70" s="5" t="n">
        <v>1986</v>
      </c>
      <c r="E70" s="5" t="s">
        <v>641</v>
      </c>
      <c r="F70" s="5" t="s">
        <v>642</v>
      </c>
      <c r="G70" s="5" t="s">
        <v>75</v>
      </c>
      <c r="H70" s="5" t="s">
        <v>643</v>
      </c>
      <c r="I70" s="5" t="s">
        <v>558</v>
      </c>
      <c r="J70" s="5" t="s">
        <v>632</v>
      </c>
      <c r="K70" s="5"/>
      <c r="L70" s="5" t="s">
        <v>560</v>
      </c>
      <c r="M70" s="5" t="s">
        <v>633</v>
      </c>
      <c r="N70" s="5" t="s">
        <v>634</v>
      </c>
      <c r="O70" s="5" t="s">
        <v>635</v>
      </c>
      <c r="P70" s="5" t="s">
        <v>574</v>
      </c>
      <c r="Q70" s="5" t="s">
        <v>49</v>
      </c>
      <c r="R70" s="5"/>
      <c r="S70" s="5" t="s">
        <v>644</v>
      </c>
      <c r="T70" s="5"/>
      <c r="U70" s="5" t="s">
        <v>645</v>
      </c>
      <c r="V70" s="5" t="s">
        <v>52</v>
      </c>
      <c r="W70" s="5"/>
      <c r="X70" s="5"/>
    </row>
    <row r="71" customFormat="false" ht="22.35" hidden="false" customHeight="false" outlineLevel="0" collapsed="false">
      <c r="A71" s="5" t="s">
        <v>646</v>
      </c>
      <c r="B71" s="5" t="s">
        <v>647</v>
      </c>
      <c r="C71" s="5" t="s">
        <v>648</v>
      </c>
      <c r="D71" s="5" t="n">
        <v>2025</v>
      </c>
      <c r="E71" s="5" t="s">
        <v>649</v>
      </c>
      <c r="F71" s="5" t="s">
        <v>650</v>
      </c>
      <c r="G71" s="5" t="s">
        <v>75</v>
      </c>
      <c r="H71" s="5" t="s">
        <v>651</v>
      </c>
      <c r="I71" s="5" t="s">
        <v>558</v>
      </c>
      <c r="J71" s="5" t="s">
        <v>632</v>
      </c>
      <c r="K71" s="5"/>
      <c r="L71" s="5" t="s">
        <v>560</v>
      </c>
      <c r="M71" s="5" t="s">
        <v>633</v>
      </c>
      <c r="N71" s="5" t="s">
        <v>634</v>
      </c>
      <c r="O71" s="5" t="s">
        <v>635</v>
      </c>
      <c r="P71" s="5" t="s">
        <v>574</v>
      </c>
      <c r="Q71" s="5" t="s">
        <v>109</v>
      </c>
      <c r="R71" s="5"/>
      <c r="S71" s="5" t="s">
        <v>652</v>
      </c>
      <c r="T71" s="5"/>
      <c r="U71" s="5" t="s">
        <v>653</v>
      </c>
      <c r="V71" s="5" t="s">
        <v>68</v>
      </c>
      <c r="W71" s="5" t="s">
        <v>69</v>
      </c>
      <c r="X71" s="5"/>
    </row>
    <row r="72" customFormat="false" ht="32.8" hidden="false" customHeight="false" outlineLevel="0" collapsed="false">
      <c r="A72" s="5" t="s">
        <v>654</v>
      </c>
      <c r="B72" s="5" t="s">
        <v>655</v>
      </c>
      <c r="C72" s="5" t="s">
        <v>656</v>
      </c>
      <c r="D72" s="5" t="n">
        <v>2003</v>
      </c>
      <c r="E72" s="5" t="s">
        <v>657</v>
      </c>
      <c r="F72" s="5" t="s">
        <v>658</v>
      </c>
      <c r="G72" s="5" t="s">
        <v>75</v>
      </c>
      <c r="H72" s="5" t="s">
        <v>659</v>
      </c>
      <c r="I72" s="5" t="s">
        <v>558</v>
      </c>
      <c r="J72" s="5" t="s">
        <v>632</v>
      </c>
      <c r="K72" s="5"/>
      <c r="L72" s="5" t="s">
        <v>560</v>
      </c>
      <c r="M72" s="5" t="s">
        <v>633</v>
      </c>
      <c r="N72" s="5" t="s">
        <v>634</v>
      </c>
      <c r="O72" s="5" t="s">
        <v>635</v>
      </c>
      <c r="P72" s="5" t="s">
        <v>660</v>
      </c>
      <c r="Q72" s="5" t="s">
        <v>49</v>
      </c>
      <c r="R72" s="5"/>
      <c r="S72" s="5" t="s">
        <v>661</v>
      </c>
      <c r="T72" s="5"/>
      <c r="U72" s="5" t="s">
        <v>662</v>
      </c>
      <c r="V72" s="5" t="s">
        <v>52</v>
      </c>
      <c r="W72" s="5"/>
      <c r="X72" s="5"/>
    </row>
    <row r="73" customFormat="false" ht="32.8" hidden="false" customHeight="false" outlineLevel="0" collapsed="false">
      <c r="A73" s="5" t="s">
        <v>663</v>
      </c>
      <c r="B73" s="5" t="s">
        <v>664</v>
      </c>
      <c r="C73" s="5" t="s">
        <v>665</v>
      </c>
      <c r="D73" s="5" t="n">
        <v>2024</v>
      </c>
      <c r="E73" s="5" t="s">
        <v>666</v>
      </c>
      <c r="F73" s="5" t="s">
        <v>667</v>
      </c>
      <c r="G73" s="5" t="s">
        <v>75</v>
      </c>
      <c r="H73" s="5" t="s">
        <v>668</v>
      </c>
      <c r="I73" s="5" t="s">
        <v>558</v>
      </c>
      <c r="J73" s="5" t="s">
        <v>632</v>
      </c>
      <c r="K73" s="5"/>
      <c r="L73" s="5" t="s">
        <v>560</v>
      </c>
      <c r="M73" s="5" t="s">
        <v>633</v>
      </c>
      <c r="N73" s="5" t="s">
        <v>634</v>
      </c>
      <c r="O73" s="5" t="s">
        <v>635</v>
      </c>
      <c r="P73" s="5" t="s">
        <v>574</v>
      </c>
      <c r="Q73" s="5" t="s">
        <v>109</v>
      </c>
      <c r="R73" s="5"/>
      <c r="S73" s="5" t="s">
        <v>669</v>
      </c>
      <c r="T73" s="5"/>
      <c r="U73" s="5" t="s">
        <v>670</v>
      </c>
      <c r="V73" s="5" t="s">
        <v>68</v>
      </c>
      <c r="W73" s="5" t="s">
        <v>69</v>
      </c>
      <c r="X73" s="5"/>
    </row>
    <row r="74" customFormat="false" ht="32.8" hidden="false" customHeight="false" outlineLevel="0" collapsed="false">
      <c r="A74" s="5" t="s">
        <v>671</v>
      </c>
      <c r="B74" s="5" t="s">
        <v>672</v>
      </c>
      <c r="C74" s="5" t="s">
        <v>673</v>
      </c>
      <c r="D74" s="5" t="n">
        <v>2026</v>
      </c>
      <c r="E74" s="5" t="s">
        <v>674</v>
      </c>
      <c r="F74" s="5" t="s">
        <v>675</v>
      </c>
      <c r="G74" s="5" t="s">
        <v>75</v>
      </c>
      <c r="H74" s="5" t="s">
        <v>676</v>
      </c>
      <c r="I74" s="5" t="s">
        <v>558</v>
      </c>
      <c r="J74" s="5" t="s">
        <v>632</v>
      </c>
      <c r="K74" s="5"/>
      <c r="L74" s="5" t="s">
        <v>560</v>
      </c>
      <c r="M74" s="5" t="s">
        <v>633</v>
      </c>
      <c r="N74" s="5" t="s">
        <v>634</v>
      </c>
      <c r="O74" s="5" t="s">
        <v>635</v>
      </c>
      <c r="P74" s="5" t="s">
        <v>660</v>
      </c>
      <c r="Q74" s="5" t="s">
        <v>109</v>
      </c>
      <c r="R74" s="5"/>
      <c r="S74" s="5" t="s">
        <v>677</v>
      </c>
      <c r="T74" s="5"/>
      <c r="U74" s="5" t="s">
        <v>678</v>
      </c>
      <c r="V74" s="5" t="s">
        <v>68</v>
      </c>
      <c r="W74" s="5" t="s">
        <v>112</v>
      </c>
      <c r="X74" s="5" t="s">
        <v>68</v>
      </c>
    </row>
    <row r="75" customFormat="false" ht="22.35" hidden="false" customHeight="false" outlineLevel="0" collapsed="false">
      <c r="A75" s="5" t="s">
        <v>679</v>
      </c>
      <c r="B75" s="5" t="s">
        <v>680</v>
      </c>
      <c r="C75" s="5" t="s">
        <v>681</v>
      </c>
      <c r="D75" s="5" t="n">
        <v>2026</v>
      </c>
      <c r="E75" s="5" t="s">
        <v>682</v>
      </c>
      <c r="F75" s="5" t="s">
        <v>683</v>
      </c>
      <c r="G75" s="5" t="s">
        <v>75</v>
      </c>
      <c r="H75" s="5" t="s">
        <v>684</v>
      </c>
      <c r="I75" s="5" t="s">
        <v>558</v>
      </c>
      <c r="J75" s="5" t="s">
        <v>632</v>
      </c>
      <c r="K75" s="5"/>
      <c r="L75" s="5" t="s">
        <v>560</v>
      </c>
      <c r="M75" s="5" t="s">
        <v>633</v>
      </c>
      <c r="N75" s="5" t="s">
        <v>634</v>
      </c>
      <c r="O75" s="5" t="s">
        <v>635</v>
      </c>
      <c r="P75" s="5" t="s">
        <v>574</v>
      </c>
      <c r="Q75" s="5" t="s">
        <v>109</v>
      </c>
      <c r="R75" s="5"/>
      <c r="S75" s="5" t="s">
        <v>685</v>
      </c>
      <c r="T75" s="5"/>
      <c r="U75" s="5" t="s">
        <v>686</v>
      </c>
      <c r="V75" s="5" t="s">
        <v>68</v>
      </c>
      <c r="W75" s="5" t="s">
        <v>112</v>
      </c>
      <c r="X75" s="5" t="s">
        <v>68</v>
      </c>
    </row>
    <row r="76" customFormat="false" ht="32.8" hidden="false" customHeight="false" outlineLevel="0" collapsed="false">
      <c r="A76" s="5" t="s">
        <v>687</v>
      </c>
      <c r="B76" s="5" t="s">
        <v>688</v>
      </c>
      <c r="C76" s="5" t="s">
        <v>689</v>
      </c>
      <c r="D76" s="5" t="n">
        <v>2003</v>
      </c>
      <c r="E76" s="5" t="s">
        <v>690</v>
      </c>
      <c r="F76" s="5" t="s">
        <v>691</v>
      </c>
      <c r="G76" s="5" t="s">
        <v>75</v>
      </c>
      <c r="H76" s="5" t="s">
        <v>692</v>
      </c>
      <c r="I76" s="5" t="s">
        <v>558</v>
      </c>
      <c r="J76" s="5" t="s">
        <v>693</v>
      </c>
      <c r="K76" s="5"/>
      <c r="L76" s="5" t="s">
        <v>560</v>
      </c>
      <c r="M76" s="5" t="s">
        <v>694</v>
      </c>
      <c r="N76" s="5" t="s">
        <v>695</v>
      </c>
      <c r="O76" s="5" t="s">
        <v>696</v>
      </c>
      <c r="P76" s="5" t="s">
        <v>574</v>
      </c>
      <c r="Q76" s="5" t="s">
        <v>49</v>
      </c>
      <c r="R76" s="5"/>
      <c r="S76" s="5" t="s">
        <v>697</v>
      </c>
      <c r="T76" s="5" t="s">
        <v>698</v>
      </c>
      <c r="U76" s="5" t="s">
        <v>699</v>
      </c>
      <c r="V76" s="5" t="s">
        <v>52</v>
      </c>
      <c r="W76" s="5"/>
      <c r="X76" s="5"/>
    </row>
    <row r="77" customFormat="false" ht="22.35" hidden="false" customHeight="false" outlineLevel="0" collapsed="false">
      <c r="A77" s="5" t="s">
        <v>700</v>
      </c>
      <c r="B77" s="5" t="s">
        <v>701</v>
      </c>
      <c r="C77" s="5" t="s">
        <v>702</v>
      </c>
      <c r="D77" s="5" t="n">
        <v>1991</v>
      </c>
      <c r="E77" s="5" t="s">
        <v>703</v>
      </c>
      <c r="F77" s="5" t="s">
        <v>704</v>
      </c>
      <c r="G77" s="5" t="s">
        <v>75</v>
      </c>
      <c r="H77" s="5" t="s">
        <v>705</v>
      </c>
      <c r="I77" s="5" t="s">
        <v>558</v>
      </c>
      <c r="J77" s="5" t="s">
        <v>693</v>
      </c>
      <c r="K77" s="5"/>
      <c r="L77" s="5" t="s">
        <v>560</v>
      </c>
      <c r="M77" s="5" t="s">
        <v>694</v>
      </c>
      <c r="N77" s="5" t="s">
        <v>695</v>
      </c>
      <c r="O77" s="5" t="s">
        <v>696</v>
      </c>
      <c r="P77" s="5" t="s">
        <v>574</v>
      </c>
      <c r="Q77" s="5" t="s">
        <v>49</v>
      </c>
      <c r="R77" s="5"/>
      <c r="S77" s="5" t="s">
        <v>706</v>
      </c>
      <c r="T77" s="5"/>
      <c r="U77" s="5" t="s">
        <v>707</v>
      </c>
      <c r="V77" s="5" t="s">
        <v>52</v>
      </c>
      <c r="W77" s="5"/>
      <c r="X77" s="5"/>
    </row>
    <row r="78" customFormat="false" ht="22.35" hidden="false" customHeight="false" outlineLevel="0" collapsed="false">
      <c r="A78" s="5" t="s">
        <v>708</v>
      </c>
      <c r="B78" s="5" t="s">
        <v>709</v>
      </c>
      <c r="C78" s="5" t="s">
        <v>710</v>
      </c>
      <c r="D78" s="5" t="n">
        <v>2015</v>
      </c>
      <c r="E78" s="5" t="s">
        <v>711</v>
      </c>
      <c r="F78" s="5" t="s">
        <v>712</v>
      </c>
      <c r="G78" s="5" t="s">
        <v>75</v>
      </c>
      <c r="H78" s="5"/>
      <c r="I78" s="5" t="s">
        <v>558</v>
      </c>
      <c r="J78" s="5" t="s">
        <v>693</v>
      </c>
      <c r="K78" s="5"/>
      <c r="L78" s="5" t="s">
        <v>560</v>
      </c>
      <c r="M78" s="5" t="s">
        <v>694</v>
      </c>
      <c r="N78" s="5" t="s">
        <v>695</v>
      </c>
      <c r="O78" s="5" t="s">
        <v>696</v>
      </c>
      <c r="P78" s="5" t="s">
        <v>574</v>
      </c>
      <c r="Q78" s="5" t="s">
        <v>49</v>
      </c>
      <c r="R78" s="5"/>
      <c r="S78" s="5" t="s">
        <v>713</v>
      </c>
      <c r="T78" s="5"/>
      <c r="U78" s="5" t="s">
        <v>714</v>
      </c>
      <c r="V78" s="5" t="s">
        <v>52</v>
      </c>
      <c r="W78" s="5"/>
      <c r="X78" s="5"/>
    </row>
    <row r="79" customFormat="false" ht="22.35" hidden="false" customHeight="false" outlineLevel="0" collapsed="false">
      <c r="A79" s="5" t="s">
        <v>715</v>
      </c>
      <c r="B79" s="5" t="s">
        <v>716</v>
      </c>
      <c r="C79" s="5" t="s">
        <v>717</v>
      </c>
      <c r="D79" s="5" t="n">
        <v>2022</v>
      </c>
      <c r="E79" s="5" t="s">
        <v>718</v>
      </c>
      <c r="F79" s="5" t="s">
        <v>719</v>
      </c>
      <c r="G79" s="5" t="s">
        <v>75</v>
      </c>
      <c r="H79" s="5" t="s">
        <v>720</v>
      </c>
      <c r="I79" s="5" t="s">
        <v>558</v>
      </c>
      <c r="J79" s="5" t="s">
        <v>693</v>
      </c>
      <c r="K79" s="5"/>
      <c r="L79" s="5" t="s">
        <v>560</v>
      </c>
      <c r="M79" s="5" t="s">
        <v>694</v>
      </c>
      <c r="N79" s="5" t="s">
        <v>695</v>
      </c>
      <c r="O79" s="5" t="s">
        <v>696</v>
      </c>
      <c r="P79" s="5" t="s">
        <v>574</v>
      </c>
      <c r="Q79" s="5" t="s">
        <v>109</v>
      </c>
      <c r="R79" s="5"/>
      <c r="S79" s="5" t="s">
        <v>721</v>
      </c>
      <c r="T79" s="5"/>
      <c r="U79" s="5" t="s">
        <v>722</v>
      </c>
      <c r="V79" s="5" t="s">
        <v>68</v>
      </c>
      <c r="W79" s="5" t="s">
        <v>69</v>
      </c>
      <c r="X79" s="5"/>
    </row>
    <row r="80" customFormat="false" ht="22.35" hidden="false" customHeight="false" outlineLevel="0" collapsed="false">
      <c r="A80" s="5" t="s">
        <v>723</v>
      </c>
      <c r="B80" s="5" t="s">
        <v>724</v>
      </c>
      <c r="C80" s="5" t="s">
        <v>725</v>
      </c>
      <c r="D80" s="5" t="n">
        <v>2024</v>
      </c>
      <c r="E80" s="5" t="s">
        <v>726</v>
      </c>
      <c r="F80" s="5" t="s">
        <v>727</v>
      </c>
      <c r="G80" s="5" t="s">
        <v>75</v>
      </c>
      <c r="H80" s="5" t="s">
        <v>728</v>
      </c>
      <c r="I80" s="5" t="s">
        <v>558</v>
      </c>
      <c r="J80" s="5" t="s">
        <v>693</v>
      </c>
      <c r="K80" s="5"/>
      <c r="L80" s="5" t="s">
        <v>560</v>
      </c>
      <c r="M80" s="5" t="s">
        <v>694</v>
      </c>
      <c r="N80" s="5" t="s">
        <v>695</v>
      </c>
      <c r="O80" s="5" t="s">
        <v>696</v>
      </c>
      <c r="P80" s="5" t="s">
        <v>574</v>
      </c>
      <c r="Q80" s="5" t="s">
        <v>109</v>
      </c>
      <c r="R80" s="5"/>
      <c r="S80" s="5" t="s">
        <v>729</v>
      </c>
      <c r="T80" s="5"/>
      <c r="U80" s="5" t="s">
        <v>730</v>
      </c>
      <c r="V80" s="5" t="s">
        <v>68</v>
      </c>
      <c r="W80" s="5" t="s">
        <v>69</v>
      </c>
      <c r="X80" s="5"/>
    </row>
    <row r="81" customFormat="false" ht="22.35" hidden="false" customHeight="false" outlineLevel="0" collapsed="false">
      <c r="A81" s="5" t="s">
        <v>731</v>
      </c>
      <c r="B81" s="5" t="s">
        <v>732</v>
      </c>
      <c r="C81" s="5" t="s">
        <v>733</v>
      </c>
      <c r="D81" s="5" t="n">
        <v>2020</v>
      </c>
      <c r="E81" s="5" t="s">
        <v>734</v>
      </c>
      <c r="F81" s="5" t="s">
        <v>735</v>
      </c>
      <c r="G81" s="5" t="s">
        <v>75</v>
      </c>
      <c r="H81" s="5" t="s">
        <v>736</v>
      </c>
      <c r="I81" s="5" t="s">
        <v>558</v>
      </c>
      <c r="J81" s="5" t="s">
        <v>693</v>
      </c>
      <c r="K81" s="5"/>
      <c r="L81" s="5" t="s">
        <v>560</v>
      </c>
      <c r="M81" s="5" t="s">
        <v>694</v>
      </c>
      <c r="N81" s="5" t="s">
        <v>695</v>
      </c>
      <c r="O81" s="5" t="s">
        <v>696</v>
      </c>
      <c r="P81" s="5" t="s">
        <v>574</v>
      </c>
      <c r="Q81" s="5" t="s">
        <v>109</v>
      </c>
      <c r="R81" s="5"/>
      <c r="S81" s="5" t="s">
        <v>737</v>
      </c>
      <c r="T81" s="5"/>
      <c r="U81" s="5" t="s">
        <v>738</v>
      </c>
      <c r="V81" s="5" t="s">
        <v>52</v>
      </c>
      <c r="W81" s="5"/>
      <c r="X81" s="5"/>
    </row>
    <row r="82" customFormat="false" ht="32.8" hidden="false" customHeight="false" outlineLevel="0" collapsed="false">
      <c r="A82" s="5" t="s">
        <v>739</v>
      </c>
      <c r="B82" s="5" t="s">
        <v>740</v>
      </c>
      <c r="C82" s="5" t="s">
        <v>741</v>
      </c>
      <c r="D82" s="5" t="n">
        <v>2011</v>
      </c>
      <c r="E82" s="5" t="s">
        <v>742</v>
      </c>
      <c r="F82" s="5" t="s">
        <v>743</v>
      </c>
      <c r="G82" s="5" t="s">
        <v>75</v>
      </c>
      <c r="H82" s="5" t="s">
        <v>744</v>
      </c>
      <c r="I82" s="5" t="s">
        <v>558</v>
      </c>
      <c r="J82" s="5" t="s">
        <v>693</v>
      </c>
      <c r="K82" s="5"/>
      <c r="L82" s="5" t="s">
        <v>560</v>
      </c>
      <c r="M82" s="5" t="s">
        <v>694</v>
      </c>
      <c r="N82" s="5" t="s">
        <v>695</v>
      </c>
      <c r="O82" s="5" t="s">
        <v>696</v>
      </c>
      <c r="P82" s="5" t="s">
        <v>745</v>
      </c>
      <c r="Q82" s="5" t="s">
        <v>109</v>
      </c>
      <c r="R82" s="5"/>
      <c r="S82" s="5" t="s">
        <v>746</v>
      </c>
      <c r="T82" s="5"/>
      <c r="U82" s="5" t="s">
        <v>747</v>
      </c>
      <c r="V82" s="5" t="s">
        <v>52</v>
      </c>
      <c r="W82" s="5"/>
      <c r="X82" s="5"/>
    </row>
    <row r="83" customFormat="false" ht="32.8" hidden="false" customHeight="false" outlineLevel="0" collapsed="false">
      <c r="A83" s="5" t="s">
        <v>748</v>
      </c>
      <c r="B83" s="5" t="s">
        <v>749</v>
      </c>
      <c r="C83" s="5" t="s">
        <v>750</v>
      </c>
      <c r="D83" s="5" t="n">
        <v>2025</v>
      </c>
      <c r="E83" s="5" t="s">
        <v>751</v>
      </c>
      <c r="F83" s="5" t="s">
        <v>752</v>
      </c>
      <c r="G83" s="5" t="s">
        <v>75</v>
      </c>
      <c r="H83" s="5" t="s">
        <v>753</v>
      </c>
      <c r="I83" s="5" t="s">
        <v>558</v>
      </c>
      <c r="J83" s="5" t="s">
        <v>693</v>
      </c>
      <c r="K83" s="5"/>
      <c r="L83" s="5" t="s">
        <v>560</v>
      </c>
      <c r="M83" s="5" t="s">
        <v>694</v>
      </c>
      <c r="N83" s="5" t="s">
        <v>695</v>
      </c>
      <c r="O83" s="5" t="s">
        <v>696</v>
      </c>
      <c r="P83" s="5" t="s">
        <v>745</v>
      </c>
      <c r="Q83" s="5" t="s">
        <v>109</v>
      </c>
      <c r="R83" s="5"/>
      <c r="S83" s="5" t="s">
        <v>754</v>
      </c>
      <c r="T83" s="5"/>
      <c r="U83" s="5" t="s">
        <v>755</v>
      </c>
      <c r="V83" s="5" t="s">
        <v>68</v>
      </c>
      <c r="W83" s="5" t="s">
        <v>112</v>
      </c>
      <c r="X83" s="5" t="s">
        <v>52</v>
      </c>
    </row>
    <row r="84" customFormat="false" ht="32.8" hidden="false" customHeight="false" outlineLevel="0" collapsed="false">
      <c r="A84" s="5" t="s">
        <v>756</v>
      </c>
      <c r="B84" s="5" t="s">
        <v>757</v>
      </c>
      <c r="C84" s="5" t="s">
        <v>758</v>
      </c>
      <c r="D84" s="5" t="n">
        <v>2018</v>
      </c>
      <c r="E84" s="5" t="s">
        <v>759</v>
      </c>
      <c r="F84" s="5" t="s">
        <v>760</v>
      </c>
      <c r="G84" s="5" t="s">
        <v>75</v>
      </c>
      <c r="H84" s="5" t="s">
        <v>761</v>
      </c>
      <c r="I84" s="5" t="s">
        <v>558</v>
      </c>
      <c r="J84" s="5" t="s">
        <v>693</v>
      </c>
      <c r="K84" s="5"/>
      <c r="L84" s="5" t="s">
        <v>560</v>
      </c>
      <c r="M84" s="5" t="s">
        <v>694</v>
      </c>
      <c r="N84" s="5" t="s">
        <v>695</v>
      </c>
      <c r="O84" s="5" t="s">
        <v>696</v>
      </c>
      <c r="P84" s="5" t="s">
        <v>745</v>
      </c>
      <c r="Q84" s="5" t="s">
        <v>109</v>
      </c>
      <c r="R84" s="5"/>
      <c r="S84" s="5" t="s">
        <v>762</v>
      </c>
      <c r="T84" s="5"/>
      <c r="U84" s="5" t="s">
        <v>763</v>
      </c>
      <c r="V84" s="5" t="s">
        <v>52</v>
      </c>
      <c r="W84" s="5"/>
      <c r="X84" s="5"/>
    </row>
    <row r="85" customFormat="false" ht="22.35" hidden="false" customHeight="false" outlineLevel="0" collapsed="false">
      <c r="A85" s="5" t="s">
        <v>764</v>
      </c>
      <c r="B85" s="5" t="s">
        <v>765</v>
      </c>
      <c r="C85" s="5" t="s">
        <v>766</v>
      </c>
      <c r="D85" s="5" t="n">
        <v>2007</v>
      </c>
      <c r="E85" s="5" t="s">
        <v>767</v>
      </c>
      <c r="F85" s="5" t="s">
        <v>768</v>
      </c>
      <c r="G85" s="5" t="s">
        <v>75</v>
      </c>
      <c r="H85" s="5" t="s">
        <v>769</v>
      </c>
      <c r="I85" s="5" t="s">
        <v>558</v>
      </c>
      <c r="J85" s="5" t="s">
        <v>770</v>
      </c>
      <c r="K85" s="5"/>
      <c r="L85" s="5" t="s">
        <v>560</v>
      </c>
      <c r="M85" s="5" t="s">
        <v>771</v>
      </c>
      <c r="N85" s="5" t="s">
        <v>772</v>
      </c>
      <c r="O85" s="5" t="s">
        <v>773</v>
      </c>
      <c r="P85" s="5" t="s">
        <v>574</v>
      </c>
      <c r="Q85" s="5" t="s">
        <v>49</v>
      </c>
      <c r="R85" s="5"/>
      <c r="S85" s="5" t="s">
        <v>774</v>
      </c>
      <c r="T85" s="5"/>
      <c r="U85" s="5" t="s">
        <v>775</v>
      </c>
      <c r="V85" s="5" t="s">
        <v>52</v>
      </c>
      <c r="W85" s="5"/>
      <c r="X85" s="5"/>
    </row>
    <row r="86" customFormat="false" ht="22.35" hidden="false" customHeight="false" outlineLevel="0" collapsed="false">
      <c r="A86" s="5" t="s">
        <v>776</v>
      </c>
      <c r="B86" s="5" t="s">
        <v>777</v>
      </c>
      <c r="C86" s="5" t="s">
        <v>778</v>
      </c>
      <c r="D86" s="5" t="n">
        <v>2011</v>
      </c>
      <c r="E86" s="5" t="s">
        <v>779</v>
      </c>
      <c r="F86" s="5" t="s">
        <v>768</v>
      </c>
      <c r="G86" s="5" t="s">
        <v>75</v>
      </c>
      <c r="H86" s="5" t="s">
        <v>780</v>
      </c>
      <c r="I86" s="5" t="s">
        <v>558</v>
      </c>
      <c r="J86" s="5" t="s">
        <v>770</v>
      </c>
      <c r="K86" s="5"/>
      <c r="L86" s="5" t="s">
        <v>560</v>
      </c>
      <c r="M86" s="5" t="s">
        <v>771</v>
      </c>
      <c r="N86" s="5" t="s">
        <v>772</v>
      </c>
      <c r="O86" s="5" t="s">
        <v>773</v>
      </c>
      <c r="P86" s="5" t="s">
        <v>574</v>
      </c>
      <c r="Q86" s="5" t="s">
        <v>49</v>
      </c>
      <c r="R86" s="5"/>
      <c r="S86" s="5" t="s">
        <v>781</v>
      </c>
      <c r="T86" s="5"/>
      <c r="U86" s="5" t="s">
        <v>782</v>
      </c>
      <c r="V86" s="5" t="s">
        <v>52</v>
      </c>
      <c r="W86" s="5"/>
      <c r="X86" s="5"/>
    </row>
    <row r="87" customFormat="false" ht="22.35" hidden="false" customHeight="false" outlineLevel="0" collapsed="false">
      <c r="A87" s="5" t="s">
        <v>783</v>
      </c>
      <c r="B87" s="5" t="s">
        <v>784</v>
      </c>
      <c r="C87" s="5" t="s">
        <v>785</v>
      </c>
      <c r="D87" s="5" t="n">
        <v>2011</v>
      </c>
      <c r="E87" s="5" t="s">
        <v>786</v>
      </c>
      <c r="F87" s="5" t="s">
        <v>787</v>
      </c>
      <c r="G87" s="5" t="s">
        <v>75</v>
      </c>
      <c r="H87" s="5" t="s">
        <v>788</v>
      </c>
      <c r="I87" s="5" t="s">
        <v>558</v>
      </c>
      <c r="J87" s="5" t="s">
        <v>770</v>
      </c>
      <c r="K87" s="5"/>
      <c r="L87" s="5" t="s">
        <v>560</v>
      </c>
      <c r="M87" s="5" t="s">
        <v>771</v>
      </c>
      <c r="N87" s="5" t="s">
        <v>772</v>
      </c>
      <c r="O87" s="5" t="s">
        <v>773</v>
      </c>
      <c r="P87" s="5" t="s">
        <v>574</v>
      </c>
      <c r="Q87" s="5" t="s">
        <v>49</v>
      </c>
      <c r="R87" s="5"/>
      <c r="S87" s="5" t="s">
        <v>789</v>
      </c>
      <c r="T87" s="5"/>
      <c r="U87" s="5" t="s">
        <v>790</v>
      </c>
      <c r="V87" s="5" t="s">
        <v>52</v>
      </c>
      <c r="W87" s="5"/>
      <c r="X87" s="5"/>
    </row>
    <row r="88" customFormat="false" ht="22.35" hidden="false" customHeight="false" outlineLevel="0" collapsed="false">
      <c r="A88" s="5" t="s">
        <v>791</v>
      </c>
      <c r="B88" s="5" t="s">
        <v>792</v>
      </c>
      <c r="C88" s="5" t="s">
        <v>793</v>
      </c>
      <c r="D88" s="5" t="n">
        <v>2014</v>
      </c>
      <c r="E88" s="5" t="s">
        <v>794</v>
      </c>
      <c r="F88" s="5" t="s">
        <v>795</v>
      </c>
      <c r="G88" s="5" t="s">
        <v>75</v>
      </c>
      <c r="H88" s="5" t="s">
        <v>796</v>
      </c>
      <c r="I88" s="5" t="s">
        <v>558</v>
      </c>
      <c r="J88" s="5" t="s">
        <v>770</v>
      </c>
      <c r="K88" s="5"/>
      <c r="L88" s="5" t="s">
        <v>560</v>
      </c>
      <c r="M88" s="5" t="s">
        <v>771</v>
      </c>
      <c r="N88" s="5" t="s">
        <v>772</v>
      </c>
      <c r="O88" s="5" t="s">
        <v>773</v>
      </c>
      <c r="P88" s="5" t="s">
        <v>574</v>
      </c>
      <c r="Q88" s="5" t="s">
        <v>109</v>
      </c>
      <c r="R88" s="5"/>
      <c r="S88" s="5" t="s">
        <v>797</v>
      </c>
      <c r="T88" s="5"/>
      <c r="U88" s="5" t="s">
        <v>798</v>
      </c>
      <c r="V88" s="5" t="s">
        <v>52</v>
      </c>
      <c r="W88" s="5"/>
      <c r="X88" s="5"/>
    </row>
    <row r="89" customFormat="false" ht="22.35" hidden="false" customHeight="false" outlineLevel="0" collapsed="false">
      <c r="A89" s="5" t="s">
        <v>799</v>
      </c>
      <c r="B89" s="5" t="s">
        <v>800</v>
      </c>
      <c r="C89" s="5" t="s">
        <v>801</v>
      </c>
      <c r="D89" s="5" t="n">
        <v>2023</v>
      </c>
      <c r="E89" s="5" t="s">
        <v>802</v>
      </c>
      <c r="F89" s="5" t="s">
        <v>803</v>
      </c>
      <c r="G89" s="5" t="s">
        <v>75</v>
      </c>
      <c r="H89" s="5" t="s">
        <v>804</v>
      </c>
      <c r="I89" s="5" t="s">
        <v>558</v>
      </c>
      <c r="J89" s="5" t="s">
        <v>770</v>
      </c>
      <c r="K89" s="5"/>
      <c r="L89" s="5" t="s">
        <v>560</v>
      </c>
      <c r="M89" s="5" t="s">
        <v>771</v>
      </c>
      <c r="N89" s="5" t="s">
        <v>772</v>
      </c>
      <c r="O89" s="5" t="s">
        <v>773</v>
      </c>
      <c r="P89" s="5" t="s">
        <v>574</v>
      </c>
      <c r="Q89" s="5" t="s">
        <v>109</v>
      </c>
      <c r="R89" s="5"/>
      <c r="S89" s="5" t="s">
        <v>805</v>
      </c>
      <c r="T89" s="5"/>
      <c r="U89" s="5" t="s">
        <v>806</v>
      </c>
      <c r="V89" s="5" t="s">
        <v>68</v>
      </c>
      <c r="W89" s="5" t="s">
        <v>112</v>
      </c>
      <c r="X89" s="5" t="s">
        <v>68</v>
      </c>
    </row>
    <row r="90" customFormat="false" ht="32.8" hidden="false" customHeight="false" outlineLevel="0" collapsed="false">
      <c r="A90" s="5" t="s">
        <v>807</v>
      </c>
      <c r="B90" s="5" t="s">
        <v>808</v>
      </c>
      <c r="C90" s="5" t="s">
        <v>809</v>
      </c>
      <c r="D90" s="5" t="n">
        <v>2025</v>
      </c>
      <c r="E90" s="5" t="s">
        <v>810</v>
      </c>
      <c r="F90" s="5" t="s">
        <v>596</v>
      </c>
      <c r="G90" s="5" t="s">
        <v>75</v>
      </c>
      <c r="H90" s="5" t="s">
        <v>811</v>
      </c>
      <c r="I90" s="5" t="s">
        <v>558</v>
      </c>
      <c r="J90" s="5" t="s">
        <v>770</v>
      </c>
      <c r="K90" s="5"/>
      <c r="L90" s="5" t="s">
        <v>560</v>
      </c>
      <c r="M90" s="5" t="s">
        <v>771</v>
      </c>
      <c r="N90" s="5" t="s">
        <v>772</v>
      </c>
      <c r="O90" s="5" t="s">
        <v>773</v>
      </c>
      <c r="P90" s="5" t="s">
        <v>574</v>
      </c>
      <c r="Q90" s="5" t="s">
        <v>109</v>
      </c>
      <c r="R90" s="5"/>
      <c r="S90" s="5" t="s">
        <v>812</v>
      </c>
      <c r="T90" s="5" t="s">
        <v>813</v>
      </c>
      <c r="U90" s="5" t="s">
        <v>814</v>
      </c>
      <c r="V90" s="5" t="s">
        <v>68</v>
      </c>
      <c r="W90" s="5" t="s">
        <v>69</v>
      </c>
      <c r="X90" s="5"/>
    </row>
    <row r="91" customFormat="false" ht="22.35" hidden="false" customHeight="false" outlineLevel="0" collapsed="false">
      <c r="A91" s="5" t="s">
        <v>815</v>
      </c>
      <c r="B91" s="5" t="s">
        <v>816</v>
      </c>
      <c r="C91" s="5" t="s">
        <v>817</v>
      </c>
      <c r="D91" s="5" t="n">
        <v>2020</v>
      </c>
      <c r="E91" s="5" t="s">
        <v>818</v>
      </c>
      <c r="F91" s="5" t="s">
        <v>819</v>
      </c>
      <c r="G91" s="5" t="s">
        <v>75</v>
      </c>
      <c r="H91" s="5" t="s">
        <v>820</v>
      </c>
      <c r="I91" s="5" t="s">
        <v>558</v>
      </c>
      <c r="J91" s="5" t="s">
        <v>770</v>
      </c>
      <c r="K91" s="5"/>
      <c r="L91" s="5" t="s">
        <v>560</v>
      </c>
      <c r="M91" s="5" t="s">
        <v>771</v>
      </c>
      <c r="N91" s="5" t="s">
        <v>772</v>
      </c>
      <c r="O91" s="5" t="s">
        <v>773</v>
      </c>
      <c r="P91" s="5" t="s">
        <v>574</v>
      </c>
      <c r="Q91" s="5" t="s">
        <v>109</v>
      </c>
      <c r="R91" s="5"/>
      <c r="S91" s="5" t="s">
        <v>821</v>
      </c>
      <c r="T91" s="5"/>
      <c r="U91" s="5" t="s">
        <v>822</v>
      </c>
      <c r="V91" s="5" t="s">
        <v>52</v>
      </c>
      <c r="W91" s="5"/>
      <c r="X91" s="5"/>
    </row>
    <row r="92" customFormat="false" ht="22.35" hidden="false" customHeight="false" outlineLevel="0" collapsed="false">
      <c r="A92" s="5" t="s">
        <v>823</v>
      </c>
      <c r="B92" s="5" t="s">
        <v>824</v>
      </c>
      <c r="C92" s="5" t="s">
        <v>825</v>
      </c>
      <c r="D92" s="5" t="n">
        <v>2022</v>
      </c>
      <c r="E92" s="5" t="s">
        <v>826</v>
      </c>
      <c r="F92" s="5" t="s">
        <v>827</v>
      </c>
      <c r="G92" s="5" t="s">
        <v>75</v>
      </c>
      <c r="H92" s="5" t="s">
        <v>828</v>
      </c>
      <c r="I92" s="5" t="s">
        <v>558</v>
      </c>
      <c r="J92" s="5" t="s">
        <v>770</v>
      </c>
      <c r="K92" s="5"/>
      <c r="L92" s="5" t="s">
        <v>560</v>
      </c>
      <c r="M92" s="5" t="s">
        <v>771</v>
      </c>
      <c r="N92" s="5" t="s">
        <v>772</v>
      </c>
      <c r="O92" s="5" t="s">
        <v>773</v>
      </c>
      <c r="P92" s="5" t="s">
        <v>574</v>
      </c>
      <c r="Q92" s="5" t="s">
        <v>109</v>
      </c>
      <c r="R92" s="5"/>
      <c r="S92" s="5" t="s">
        <v>829</v>
      </c>
      <c r="T92" s="5"/>
      <c r="U92" s="5" t="s">
        <v>830</v>
      </c>
      <c r="V92" s="5" t="s">
        <v>68</v>
      </c>
      <c r="W92" s="5" t="s">
        <v>69</v>
      </c>
      <c r="X92" s="5"/>
    </row>
    <row r="93" customFormat="false" ht="32.8" hidden="false" customHeight="false" outlineLevel="0" collapsed="false">
      <c r="A93" s="5" t="s">
        <v>831</v>
      </c>
      <c r="B93" s="5" t="s">
        <v>832</v>
      </c>
      <c r="C93" s="5" t="s">
        <v>833</v>
      </c>
      <c r="D93" s="5" t="n">
        <v>2019</v>
      </c>
      <c r="E93" s="5" t="s">
        <v>834</v>
      </c>
      <c r="F93" s="5" t="s">
        <v>835</v>
      </c>
      <c r="G93" s="5" t="s">
        <v>180</v>
      </c>
      <c r="H93" s="5"/>
      <c r="I93" s="5" t="s">
        <v>558</v>
      </c>
      <c r="J93" s="5" t="s">
        <v>836</v>
      </c>
      <c r="K93" s="5" t="s">
        <v>837</v>
      </c>
      <c r="L93" s="5" t="s">
        <v>560</v>
      </c>
      <c r="M93" s="5" t="s">
        <v>838</v>
      </c>
      <c r="N93" s="5" t="s">
        <v>839</v>
      </c>
      <c r="O93" s="5" t="s">
        <v>840</v>
      </c>
      <c r="P93" s="5" t="s">
        <v>841</v>
      </c>
      <c r="Q93" s="5" t="s">
        <v>109</v>
      </c>
      <c r="R93" s="5"/>
      <c r="S93" s="5" t="s">
        <v>842</v>
      </c>
      <c r="T93" s="5"/>
      <c r="U93" s="5" t="s">
        <v>843</v>
      </c>
      <c r="V93" s="5" t="s">
        <v>52</v>
      </c>
      <c r="W93" s="5"/>
      <c r="X93" s="5"/>
    </row>
    <row r="94" customFormat="false" ht="32.8" hidden="false" customHeight="false" outlineLevel="0" collapsed="false">
      <c r="A94" s="5" t="s">
        <v>844</v>
      </c>
      <c r="B94" s="5" t="s">
        <v>845</v>
      </c>
      <c r="C94" s="5" t="s">
        <v>846</v>
      </c>
      <c r="D94" s="5" t="n">
        <v>2023</v>
      </c>
      <c r="E94" s="5" t="s">
        <v>847</v>
      </c>
      <c r="F94" s="5" t="s">
        <v>848</v>
      </c>
      <c r="G94" s="5" t="s">
        <v>75</v>
      </c>
      <c r="H94" s="5" t="s">
        <v>849</v>
      </c>
      <c r="I94" s="5" t="s">
        <v>558</v>
      </c>
      <c r="J94" s="5" t="s">
        <v>836</v>
      </c>
      <c r="K94" s="5"/>
      <c r="L94" s="5" t="s">
        <v>560</v>
      </c>
      <c r="M94" s="5" t="s">
        <v>838</v>
      </c>
      <c r="N94" s="5" t="s">
        <v>839</v>
      </c>
      <c r="O94" s="5" t="s">
        <v>840</v>
      </c>
      <c r="P94" s="5" t="s">
        <v>850</v>
      </c>
      <c r="Q94" s="5" t="s">
        <v>109</v>
      </c>
      <c r="R94" s="5"/>
      <c r="S94" s="5" t="s">
        <v>851</v>
      </c>
      <c r="T94" s="5" t="s">
        <v>852</v>
      </c>
      <c r="U94" s="5" t="s">
        <v>853</v>
      </c>
      <c r="V94" s="5" t="s">
        <v>68</v>
      </c>
      <c r="W94" s="5" t="s">
        <v>69</v>
      </c>
      <c r="X94" s="5"/>
    </row>
    <row r="95" customFormat="false" ht="32.8" hidden="false" customHeight="false" outlineLevel="0" collapsed="false">
      <c r="A95" s="5" t="s">
        <v>854</v>
      </c>
      <c r="B95" s="5" t="s">
        <v>855</v>
      </c>
      <c r="C95" s="5" t="s">
        <v>856</v>
      </c>
      <c r="D95" s="5" t="n">
        <v>2026</v>
      </c>
      <c r="E95" s="5" t="s">
        <v>857</v>
      </c>
      <c r="F95" s="5" t="s">
        <v>858</v>
      </c>
      <c r="G95" s="5" t="s">
        <v>75</v>
      </c>
      <c r="H95" s="5" t="s">
        <v>859</v>
      </c>
      <c r="I95" s="5" t="s">
        <v>558</v>
      </c>
      <c r="J95" s="5" t="s">
        <v>836</v>
      </c>
      <c r="K95" s="5"/>
      <c r="L95" s="5" t="s">
        <v>560</v>
      </c>
      <c r="M95" s="5" t="s">
        <v>838</v>
      </c>
      <c r="N95" s="5" t="s">
        <v>839</v>
      </c>
      <c r="O95" s="5" t="s">
        <v>840</v>
      </c>
      <c r="P95" s="5" t="s">
        <v>574</v>
      </c>
      <c r="Q95" s="5" t="s">
        <v>109</v>
      </c>
      <c r="R95" s="5"/>
      <c r="S95" s="5" t="s">
        <v>860</v>
      </c>
      <c r="T95" s="5"/>
      <c r="U95" s="5" t="s">
        <v>861</v>
      </c>
      <c r="V95" s="5" t="s">
        <v>68</v>
      </c>
      <c r="W95" s="5" t="s">
        <v>69</v>
      </c>
      <c r="X95" s="5"/>
    </row>
    <row r="96" customFormat="false" ht="43.25" hidden="false" customHeight="false" outlineLevel="0" collapsed="false">
      <c r="A96" s="5" t="s">
        <v>862</v>
      </c>
      <c r="B96" s="5" t="s">
        <v>863</v>
      </c>
      <c r="C96" s="5" t="s">
        <v>864</v>
      </c>
      <c r="D96" s="5" t="n">
        <v>2025</v>
      </c>
      <c r="E96" s="5" t="s">
        <v>865</v>
      </c>
      <c r="F96" s="5" t="s">
        <v>866</v>
      </c>
      <c r="G96" s="5" t="s">
        <v>75</v>
      </c>
      <c r="H96" s="5" t="s">
        <v>867</v>
      </c>
      <c r="I96" s="5" t="s">
        <v>558</v>
      </c>
      <c r="J96" s="5" t="s">
        <v>836</v>
      </c>
      <c r="K96" s="5" t="s">
        <v>519</v>
      </c>
      <c r="L96" s="5" t="s">
        <v>560</v>
      </c>
      <c r="M96" s="5" t="s">
        <v>838</v>
      </c>
      <c r="N96" s="5" t="s">
        <v>839</v>
      </c>
      <c r="O96" s="5" t="s">
        <v>840</v>
      </c>
      <c r="P96" s="5" t="s">
        <v>868</v>
      </c>
      <c r="Q96" s="5" t="s">
        <v>109</v>
      </c>
      <c r="R96" s="5"/>
      <c r="S96" s="5" t="s">
        <v>869</v>
      </c>
      <c r="T96" s="5"/>
      <c r="U96" s="5" t="s">
        <v>870</v>
      </c>
      <c r="V96" s="5" t="s">
        <v>68</v>
      </c>
      <c r="W96" s="5" t="s">
        <v>69</v>
      </c>
      <c r="X96" s="5"/>
    </row>
    <row r="97" customFormat="false" ht="32.8" hidden="false" customHeight="false" outlineLevel="0" collapsed="false">
      <c r="A97" s="5" t="s">
        <v>871</v>
      </c>
      <c r="B97" s="5" t="s">
        <v>872</v>
      </c>
      <c r="C97" s="5" t="s">
        <v>873</v>
      </c>
      <c r="D97" s="5" t="n">
        <v>2023</v>
      </c>
      <c r="E97" s="5" t="s">
        <v>874</v>
      </c>
      <c r="F97" s="5" t="s">
        <v>410</v>
      </c>
      <c r="G97" s="5" t="s">
        <v>75</v>
      </c>
      <c r="H97" s="5" t="s">
        <v>875</v>
      </c>
      <c r="I97" s="5" t="s">
        <v>558</v>
      </c>
      <c r="J97" s="5" t="s">
        <v>836</v>
      </c>
      <c r="K97" s="5"/>
      <c r="L97" s="5" t="s">
        <v>560</v>
      </c>
      <c r="M97" s="5" t="s">
        <v>838</v>
      </c>
      <c r="N97" s="5" t="s">
        <v>839</v>
      </c>
      <c r="O97" s="5" t="s">
        <v>840</v>
      </c>
      <c r="P97" s="5" t="s">
        <v>745</v>
      </c>
      <c r="Q97" s="5" t="s">
        <v>109</v>
      </c>
      <c r="R97" s="5"/>
      <c r="S97" s="5" t="s">
        <v>876</v>
      </c>
      <c r="T97" s="5"/>
      <c r="U97" s="5" t="s">
        <v>877</v>
      </c>
      <c r="V97" s="5" t="s">
        <v>68</v>
      </c>
      <c r="W97" s="5" t="s">
        <v>112</v>
      </c>
      <c r="X97" s="5" t="s">
        <v>68</v>
      </c>
    </row>
    <row r="98" customFormat="false" ht="22.35" hidden="false" customHeight="false" outlineLevel="0" collapsed="false">
      <c r="A98" s="5" t="s">
        <v>878</v>
      </c>
      <c r="B98" s="5" t="s">
        <v>879</v>
      </c>
      <c r="C98" s="5" t="s">
        <v>880</v>
      </c>
      <c r="D98" s="5" t="n">
        <v>2024</v>
      </c>
      <c r="E98" s="5" t="s">
        <v>881</v>
      </c>
      <c r="F98" s="5" t="s">
        <v>882</v>
      </c>
      <c r="G98" s="5" t="s">
        <v>75</v>
      </c>
      <c r="H98" s="5" t="s">
        <v>883</v>
      </c>
      <c r="I98" s="5" t="s">
        <v>558</v>
      </c>
      <c r="J98" s="5" t="s">
        <v>836</v>
      </c>
      <c r="K98" s="5"/>
      <c r="L98" s="5" t="s">
        <v>560</v>
      </c>
      <c r="M98" s="5" t="s">
        <v>838</v>
      </c>
      <c r="N98" s="5" t="s">
        <v>839</v>
      </c>
      <c r="O98" s="5" t="s">
        <v>840</v>
      </c>
      <c r="P98" s="5" t="s">
        <v>574</v>
      </c>
      <c r="Q98" s="5" t="s">
        <v>109</v>
      </c>
      <c r="R98" s="5"/>
      <c r="S98" s="5" t="s">
        <v>884</v>
      </c>
      <c r="T98" s="5"/>
      <c r="U98" s="5" t="s">
        <v>885</v>
      </c>
      <c r="V98" s="5" t="s">
        <v>68</v>
      </c>
      <c r="W98" s="5" t="s">
        <v>112</v>
      </c>
      <c r="X98" s="5" t="s">
        <v>52</v>
      </c>
    </row>
    <row r="99" customFormat="false" ht="32.8" hidden="false" customHeight="false" outlineLevel="0" collapsed="false">
      <c r="A99" s="5" t="s">
        <v>886</v>
      </c>
      <c r="B99" s="5" t="s">
        <v>887</v>
      </c>
      <c r="C99" s="5" t="s">
        <v>888</v>
      </c>
      <c r="D99" s="5" t="n">
        <v>2025</v>
      </c>
      <c r="E99" s="5" t="s">
        <v>889</v>
      </c>
      <c r="F99" s="5" t="s">
        <v>890</v>
      </c>
      <c r="G99" s="5" t="s">
        <v>75</v>
      </c>
      <c r="H99" s="5" t="s">
        <v>891</v>
      </c>
      <c r="I99" s="5" t="s">
        <v>558</v>
      </c>
      <c r="J99" s="5" t="s">
        <v>836</v>
      </c>
      <c r="K99" s="5"/>
      <c r="L99" s="5" t="s">
        <v>560</v>
      </c>
      <c r="M99" s="5" t="s">
        <v>838</v>
      </c>
      <c r="N99" s="5" t="s">
        <v>839</v>
      </c>
      <c r="O99" s="5" t="s">
        <v>840</v>
      </c>
      <c r="P99" s="5" t="s">
        <v>745</v>
      </c>
      <c r="Q99" s="5" t="s">
        <v>109</v>
      </c>
      <c r="R99" s="5"/>
      <c r="S99" s="5" t="s">
        <v>892</v>
      </c>
      <c r="T99" s="5"/>
      <c r="U99" s="5" t="s">
        <v>893</v>
      </c>
      <c r="V99" s="5" t="s">
        <v>68</v>
      </c>
      <c r="W99" s="5" t="s">
        <v>69</v>
      </c>
      <c r="X99" s="5"/>
    </row>
    <row r="100" customFormat="false" ht="32.8" hidden="false" customHeight="false" outlineLevel="0" collapsed="false">
      <c r="A100" s="5" t="s">
        <v>894</v>
      </c>
      <c r="B100" s="5" t="s">
        <v>895</v>
      </c>
      <c r="C100" s="5" t="s">
        <v>896</v>
      </c>
      <c r="D100" s="5" t="n">
        <v>2024</v>
      </c>
      <c r="E100" s="5" t="s">
        <v>897</v>
      </c>
      <c r="F100" s="5" t="s">
        <v>898</v>
      </c>
      <c r="G100" s="5" t="s">
        <v>180</v>
      </c>
      <c r="H100" s="5" t="s">
        <v>899</v>
      </c>
      <c r="I100" s="5" t="s">
        <v>558</v>
      </c>
      <c r="J100" s="5" t="s">
        <v>836</v>
      </c>
      <c r="K100" s="5"/>
      <c r="L100" s="5" t="s">
        <v>560</v>
      </c>
      <c r="M100" s="5" t="s">
        <v>838</v>
      </c>
      <c r="N100" s="5" t="s">
        <v>839</v>
      </c>
      <c r="O100" s="5" t="s">
        <v>840</v>
      </c>
      <c r="P100" s="5" t="s">
        <v>574</v>
      </c>
      <c r="Q100" s="5" t="s">
        <v>109</v>
      </c>
      <c r="R100" s="5"/>
      <c r="S100" s="5" t="s">
        <v>900</v>
      </c>
      <c r="T100" s="5"/>
      <c r="U100" s="5" t="s">
        <v>901</v>
      </c>
      <c r="V100" s="5" t="s">
        <v>68</v>
      </c>
      <c r="W100" s="5" t="s">
        <v>112</v>
      </c>
      <c r="X100" s="5" t="s">
        <v>52</v>
      </c>
    </row>
    <row r="101" customFormat="false" ht="43.25" hidden="false" customHeight="false" outlineLevel="0" collapsed="false">
      <c r="A101" s="5" t="s">
        <v>902</v>
      </c>
      <c r="B101" s="5" t="s">
        <v>903</v>
      </c>
      <c r="C101" s="5" t="s">
        <v>904</v>
      </c>
      <c r="D101" s="5" t="n">
        <v>2016</v>
      </c>
      <c r="E101" s="5" t="s">
        <v>905</v>
      </c>
      <c r="F101" s="5" t="s">
        <v>906</v>
      </c>
      <c r="G101" s="5" t="s">
        <v>613</v>
      </c>
      <c r="H101" s="5" t="s">
        <v>907</v>
      </c>
      <c r="I101" s="5" t="s">
        <v>908</v>
      </c>
      <c r="J101" s="5" t="s">
        <v>909</v>
      </c>
      <c r="K101" s="5"/>
      <c r="L101" s="5" t="s">
        <v>910</v>
      </c>
      <c r="M101" s="5" t="s">
        <v>911</v>
      </c>
      <c r="N101" s="5"/>
      <c r="O101" s="5"/>
      <c r="P101" s="5" t="s">
        <v>912</v>
      </c>
      <c r="Q101" s="5" t="s">
        <v>49</v>
      </c>
      <c r="R101" s="5"/>
      <c r="S101" s="5" t="s">
        <v>913</v>
      </c>
      <c r="T101" s="5"/>
      <c r="U101" s="5" t="s">
        <v>914</v>
      </c>
      <c r="V101" s="5" t="s">
        <v>52</v>
      </c>
      <c r="W101" s="5"/>
      <c r="X101" s="5"/>
    </row>
    <row r="102" customFormat="false" ht="32.8" hidden="false" customHeight="false" outlineLevel="0" collapsed="false">
      <c r="A102" s="5" t="s">
        <v>915</v>
      </c>
      <c r="B102" s="5" t="s">
        <v>916</v>
      </c>
      <c r="C102" s="5" t="s">
        <v>917</v>
      </c>
      <c r="D102" s="5" t="n">
        <v>2012</v>
      </c>
      <c r="E102" s="5" t="s">
        <v>918</v>
      </c>
      <c r="F102" s="5" t="s">
        <v>919</v>
      </c>
      <c r="G102" s="5" t="s">
        <v>180</v>
      </c>
      <c r="H102" s="5"/>
      <c r="I102" s="5" t="s">
        <v>908</v>
      </c>
      <c r="J102" s="5" t="s">
        <v>909</v>
      </c>
      <c r="K102" s="5" t="s">
        <v>920</v>
      </c>
      <c r="L102" s="5" t="s">
        <v>910</v>
      </c>
      <c r="M102" s="5" t="s">
        <v>911</v>
      </c>
      <c r="N102" s="5"/>
      <c r="O102" s="5"/>
      <c r="P102" s="5" t="s">
        <v>921</v>
      </c>
      <c r="Q102" s="5" t="s">
        <v>49</v>
      </c>
      <c r="R102" s="5"/>
      <c r="S102" s="5" t="s">
        <v>922</v>
      </c>
      <c r="T102" s="5"/>
      <c r="U102" s="5" t="s">
        <v>923</v>
      </c>
      <c r="V102" s="5" t="s">
        <v>52</v>
      </c>
      <c r="W102" s="5"/>
      <c r="X102" s="5"/>
    </row>
    <row r="103" customFormat="false" ht="32.8" hidden="false" customHeight="false" outlineLevel="0" collapsed="false">
      <c r="A103" s="5" t="s">
        <v>924</v>
      </c>
      <c r="B103" s="5" t="s">
        <v>925</v>
      </c>
      <c r="C103" s="5" t="s">
        <v>926</v>
      </c>
      <c r="D103" s="5" t="n">
        <v>2009</v>
      </c>
      <c r="E103" s="5" t="s">
        <v>927</v>
      </c>
      <c r="F103" s="5" t="s">
        <v>928</v>
      </c>
      <c r="G103" s="5" t="s">
        <v>180</v>
      </c>
      <c r="H103" s="5"/>
      <c r="I103" s="5" t="s">
        <v>908</v>
      </c>
      <c r="J103" s="5" t="s">
        <v>909</v>
      </c>
      <c r="K103" s="5"/>
      <c r="L103" s="5" t="s">
        <v>910</v>
      </c>
      <c r="M103" s="5" t="s">
        <v>911</v>
      </c>
      <c r="N103" s="5"/>
      <c r="O103" s="5"/>
      <c r="P103" s="5" t="s">
        <v>929</v>
      </c>
      <c r="Q103" s="5" t="s">
        <v>49</v>
      </c>
      <c r="R103" s="5"/>
      <c r="S103" s="5" t="s">
        <v>930</v>
      </c>
      <c r="T103" s="5"/>
      <c r="U103" s="5" t="s">
        <v>931</v>
      </c>
      <c r="V103" s="5" t="s">
        <v>52</v>
      </c>
      <c r="W103" s="5"/>
      <c r="X103" s="5"/>
    </row>
    <row r="104" customFormat="false" ht="43.25" hidden="false" customHeight="false" outlineLevel="0" collapsed="false">
      <c r="A104" s="5" t="s">
        <v>932</v>
      </c>
      <c r="B104" s="5" t="s">
        <v>933</v>
      </c>
      <c r="C104" s="5" t="s">
        <v>934</v>
      </c>
      <c r="D104" s="5" t="n">
        <v>2014</v>
      </c>
      <c r="E104" s="5" t="s">
        <v>935</v>
      </c>
      <c r="F104" s="5" t="s">
        <v>936</v>
      </c>
      <c r="G104" s="5" t="s">
        <v>75</v>
      </c>
      <c r="H104" s="5" t="s">
        <v>937</v>
      </c>
      <c r="I104" s="5" t="s">
        <v>908</v>
      </c>
      <c r="J104" s="5" t="s">
        <v>909</v>
      </c>
      <c r="K104" s="5"/>
      <c r="L104" s="5" t="s">
        <v>910</v>
      </c>
      <c r="M104" s="5" t="s">
        <v>911</v>
      </c>
      <c r="N104" s="5"/>
      <c r="O104" s="5"/>
      <c r="P104" s="5" t="s">
        <v>929</v>
      </c>
      <c r="Q104" s="5" t="s">
        <v>109</v>
      </c>
      <c r="R104" s="5"/>
      <c r="S104" s="5" t="s">
        <v>938</v>
      </c>
      <c r="T104" s="5"/>
      <c r="U104" s="5" t="s">
        <v>939</v>
      </c>
      <c r="V104" s="5" t="s">
        <v>52</v>
      </c>
      <c r="W104" s="5"/>
      <c r="X104" s="5"/>
    </row>
    <row r="105" customFormat="false" ht="22.35" hidden="false" customHeight="false" outlineLevel="0" collapsed="false">
      <c r="A105" s="5" t="s">
        <v>940</v>
      </c>
      <c r="B105" s="5" t="s">
        <v>941</v>
      </c>
      <c r="C105" s="5" t="s">
        <v>942</v>
      </c>
      <c r="D105" s="5" t="n">
        <v>2020</v>
      </c>
      <c r="E105" s="5" t="s">
        <v>943</v>
      </c>
      <c r="F105" s="5" t="s">
        <v>944</v>
      </c>
      <c r="G105" s="5" t="s">
        <v>75</v>
      </c>
      <c r="H105" s="5" t="s">
        <v>945</v>
      </c>
      <c r="I105" s="5" t="s">
        <v>908</v>
      </c>
      <c r="J105" s="5" t="s">
        <v>909</v>
      </c>
      <c r="K105" s="5" t="s">
        <v>920</v>
      </c>
      <c r="L105" s="5" t="s">
        <v>910</v>
      </c>
      <c r="M105" s="5" t="s">
        <v>911</v>
      </c>
      <c r="N105" s="5"/>
      <c r="O105" s="5"/>
      <c r="P105" s="5" t="s">
        <v>921</v>
      </c>
      <c r="Q105" s="5" t="s">
        <v>109</v>
      </c>
      <c r="R105" s="5"/>
      <c r="S105" s="5" t="s">
        <v>946</v>
      </c>
      <c r="T105" s="5"/>
      <c r="U105" s="5" t="s">
        <v>947</v>
      </c>
      <c r="V105" s="5" t="s">
        <v>52</v>
      </c>
      <c r="W105" s="5"/>
      <c r="X105" s="5"/>
    </row>
    <row r="106" customFormat="false" ht="32.8" hidden="false" customHeight="false" outlineLevel="0" collapsed="false">
      <c r="A106" s="5" t="s">
        <v>948</v>
      </c>
      <c r="B106" s="5" t="s">
        <v>949</v>
      </c>
      <c r="C106" s="5" t="s">
        <v>950</v>
      </c>
      <c r="D106" s="5" t="n">
        <v>2016</v>
      </c>
      <c r="E106" s="5" t="s">
        <v>951</v>
      </c>
      <c r="F106" s="5" t="s">
        <v>952</v>
      </c>
      <c r="G106" s="5" t="s">
        <v>75</v>
      </c>
      <c r="H106" s="5" t="s">
        <v>953</v>
      </c>
      <c r="I106" s="5" t="s">
        <v>908</v>
      </c>
      <c r="J106" s="5" t="s">
        <v>909</v>
      </c>
      <c r="K106" s="5"/>
      <c r="L106" s="5" t="s">
        <v>910</v>
      </c>
      <c r="M106" s="5" t="s">
        <v>911</v>
      </c>
      <c r="N106" s="5"/>
      <c r="O106" s="5"/>
      <c r="P106" s="5" t="s">
        <v>929</v>
      </c>
      <c r="Q106" s="5" t="s">
        <v>109</v>
      </c>
      <c r="R106" s="5"/>
      <c r="S106" s="5" t="s">
        <v>954</v>
      </c>
      <c r="T106" s="5" t="s">
        <v>167</v>
      </c>
      <c r="U106" s="5" t="s">
        <v>955</v>
      </c>
      <c r="V106" s="5" t="s">
        <v>52</v>
      </c>
      <c r="W106" s="5"/>
      <c r="X106" s="5"/>
    </row>
    <row r="107" customFormat="false" ht="43.25" hidden="false" customHeight="false" outlineLevel="0" collapsed="false">
      <c r="A107" s="5" t="s">
        <v>956</v>
      </c>
      <c r="B107" s="5" t="s">
        <v>957</v>
      </c>
      <c r="C107" s="5" t="s">
        <v>958</v>
      </c>
      <c r="D107" s="5" t="n">
        <v>1997</v>
      </c>
      <c r="E107" s="5" t="s">
        <v>959</v>
      </c>
      <c r="F107" s="5" t="s">
        <v>960</v>
      </c>
      <c r="G107" s="5" t="s">
        <v>43</v>
      </c>
      <c r="H107" s="5"/>
      <c r="I107" s="5" t="s">
        <v>908</v>
      </c>
      <c r="J107" s="5" t="s">
        <v>920</v>
      </c>
      <c r="K107" s="5" t="s">
        <v>519</v>
      </c>
      <c r="L107" s="5" t="s">
        <v>961</v>
      </c>
      <c r="M107" s="5" t="s">
        <v>962</v>
      </c>
      <c r="N107" s="5"/>
      <c r="O107" s="5"/>
      <c r="P107" s="5" t="s">
        <v>963</v>
      </c>
      <c r="Q107" s="5" t="s">
        <v>49</v>
      </c>
      <c r="R107" s="5"/>
      <c r="S107" s="5" t="s">
        <v>964</v>
      </c>
      <c r="T107" s="5" t="s">
        <v>965</v>
      </c>
      <c r="U107" s="5"/>
      <c r="V107" s="5" t="s">
        <v>52</v>
      </c>
      <c r="W107" s="5"/>
      <c r="X107" s="5"/>
    </row>
    <row r="108" customFormat="false" ht="22.35" hidden="false" customHeight="false" outlineLevel="0" collapsed="false">
      <c r="A108" s="5" t="s">
        <v>966</v>
      </c>
      <c r="B108" s="5" t="s">
        <v>967</v>
      </c>
      <c r="C108" s="5" t="s">
        <v>968</v>
      </c>
      <c r="D108" s="5" t="n">
        <v>2014</v>
      </c>
      <c r="E108" s="5" t="s">
        <v>969</v>
      </c>
      <c r="F108" s="5" t="s">
        <v>970</v>
      </c>
      <c r="G108" s="5" t="s">
        <v>75</v>
      </c>
      <c r="H108" s="5" t="s">
        <v>971</v>
      </c>
      <c r="I108" s="5" t="s">
        <v>908</v>
      </c>
      <c r="J108" s="5" t="s">
        <v>920</v>
      </c>
      <c r="K108" s="5"/>
      <c r="L108" s="5" t="s">
        <v>961</v>
      </c>
      <c r="M108" s="5" t="s">
        <v>962</v>
      </c>
      <c r="N108" s="5"/>
      <c r="O108" s="5"/>
      <c r="P108" s="5" t="s">
        <v>972</v>
      </c>
      <c r="Q108" s="5" t="s">
        <v>109</v>
      </c>
      <c r="R108" s="5"/>
      <c r="S108" s="5" t="s">
        <v>973</v>
      </c>
      <c r="T108" s="5"/>
      <c r="U108" s="5" t="s">
        <v>974</v>
      </c>
      <c r="V108" s="5" t="s">
        <v>52</v>
      </c>
      <c r="W108" s="5"/>
      <c r="X108" s="5"/>
    </row>
    <row r="109" customFormat="false" ht="22.35" hidden="false" customHeight="false" outlineLevel="0" collapsed="false">
      <c r="A109" s="5" t="s">
        <v>975</v>
      </c>
      <c r="B109" s="5" t="s">
        <v>976</v>
      </c>
      <c r="C109" s="5" t="s">
        <v>977</v>
      </c>
      <c r="D109" s="5" t="n">
        <v>2022</v>
      </c>
      <c r="E109" s="5" t="s">
        <v>978</v>
      </c>
      <c r="F109" s="5" t="s">
        <v>979</v>
      </c>
      <c r="G109" s="5" t="s">
        <v>75</v>
      </c>
      <c r="H109" s="5" t="s">
        <v>980</v>
      </c>
      <c r="I109" s="5" t="s">
        <v>908</v>
      </c>
      <c r="J109" s="5" t="s">
        <v>837</v>
      </c>
      <c r="K109" s="5"/>
      <c r="L109" s="5" t="s">
        <v>981</v>
      </c>
      <c r="M109" s="5" t="s">
        <v>982</v>
      </c>
      <c r="N109" s="5"/>
      <c r="O109" s="5"/>
      <c r="P109" s="5" t="s">
        <v>983</v>
      </c>
      <c r="Q109" s="5" t="s">
        <v>109</v>
      </c>
      <c r="R109" s="5" t="s">
        <v>984</v>
      </c>
      <c r="S109" s="5" t="s">
        <v>985</v>
      </c>
      <c r="T109" s="5" t="s">
        <v>986</v>
      </c>
      <c r="U109" s="5" t="s">
        <v>987</v>
      </c>
      <c r="V109" s="5" t="s">
        <v>68</v>
      </c>
      <c r="W109" s="5" t="s">
        <v>69</v>
      </c>
      <c r="X109" s="5"/>
    </row>
    <row r="110" customFormat="false" ht="22.35" hidden="false" customHeight="false" outlineLevel="0" collapsed="false">
      <c r="A110" s="5" t="s">
        <v>988</v>
      </c>
      <c r="B110" s="5" t="s">
        <v>989</v>
      </c>
      <c r="C110" s="5" t="s">
        <v>990</v>
      </c>
      <c r="D110" s="5" t="n">
        <v>2018</v>
      </c>
      <c r="E110" s="5" t="s">
        <v>991</v>
      </c>
      <c r="F110" s="5" t="s">
        <v>992</v>
      </c>
      <c r="G110" s="5" t="s">
        <v>75</v>
      </c>
      <c r="H110" s="5" t="s">
        <v>993</v>
      </c>
      <c r="I110" s="5" t="s">
        <v>908</v>
      </c>
      <c r="J110" s="5" t="s">
        <v>837</v>
      </c>
      <c r="K110" s="5"/>
      <c r="L110" s="5" t="s">
        <v>981</v>
      </c>
      <c r="M110" s="5" t="s">
        <v>982</v>
      </c>
      <c r="N110" s="5"/>
      <c r="O110" s="5"/>
      <c r="P110" s="5" t="s">
        <v>983</v>
      </c>
      <c r="Q110" s="5" t="s">
        <v>109</v>
      </c>
      <c r="R110" s="5"/>
      <c r="S110" s="5" t="s">
        <v>994</v>
      </c>
      <c r="T110" s="5"/>
      <c r="U110" s="5" t="s">
        <v>995</v>
      </c>
      <c r="V110" s="5" t="s">
        <v>52</v>
      </c>
      <c r="W110" s="5"/>
      <c r="X110" s="5"/>
    </row>
    <row r="111" customFormat="false" ht="22.35" hidden="false" customHeight="false" outlineLevel="0" collapsed="false">
      <c r="A111" s="5" t="s">
        <v>996</v>
      </c>
      <c r="B111" s="5" t="s">
        <v>997</v>
      </c>
      <c r="C111" s="5" t="s">
        <v>998</v>
      </c>
      <c r="D111" s="5" t="n">
        <v>2021</v>
      </c>
      <c r="E111" s="5" t="s">
        <v>999</v>
      </c>
      <c r="F111" s="5" t="s">
        <v>1000</v>
      </c>
      <c r="G111" s="5" t="s">
        <v>75</v>
      </c>
      <c r="H111" s="5" t="s">
        <v>1001</v>
      </c>
      <c r="I111" s="5" t="s">
        <v>908</v>
      </c>
      <c r="J111" s="5" t="s">
        <v>837</v>
      </c>
      <c r="K111" s="5"/>
      <c r="L111" s="5" t="s">
        <v>981</v>
      </c>
      <c r="M111" s="5" t="s">
        <v>982</v>
      </c>
      <c r="N111" s="5"/>
      <c r="O111" s="5"/>
      <c r="P111" s="5" t="s">
        <v>983</v>
      </c>
      <c r="Q111" s="5" t="s">
        <v>109</v>
      </c>
      <c r="R111" s="5"/>
      <c r="S111" s="5" t="s">
        <v>1002</v>
      </c>
      <c r="T111" s="5"/>
      <c r="U111" s="5" t="s">
        <v>1003</v>
      </c>
      <c r="V111" s="5" t="s">
        <v>68</v>
      </c>
      <c r="W111" s="5" t="s">
        <v>69</v>
      </c>
      <c r="X111" s="5"/>
    </row>
    <row r="112" customFormat="false" ht="22.35" hidden="false" customHeight="false" outlineLevel="0" collapsed="false">
      <c r="A112" s="5" t="s">
        <v>1004</v>
      </c>
      <c r="B112" s="5" t="s">
        <v>1005</v>
      </c>
      <c r="C112" s="5" t="s">
        <v>1006</v>
      </c>
      <c r="D112" s="5" t="n">
        <v>2023</v>
      </c>
      <c r="E112" s="5" t="s">
        <v>1007</v>
      </c>
      <c r="F112" s="5" t="s">
        <v>1008</v>
      </c>
      <c r="G112" s="5" t="s">
        <v>75</v>
      </c>
      <c r="H112" s="5" t="s">
        <v>1009</v>
      </c>
      <c r="I112" s="5" t="s">
        <v>908</v>
      </c>
      <c r="J112" s="5" t="s">
        <v>837</v>
      </c>
      <c r="K112" s="5"/>
      <c r="L112" s="5" t="s">
        <v>981</v>
      </c>
      <c r="M112" s="5" t="s">
        <v>982</v>
      </c>
      <c r="N112" s="5"/>
      <c r="O112" s="5"/>
      <c r="P112" s="5" t="s">
        <v>983</v>
      </c>
      <c r="Q112" s="5" t="s">
        <v>109</v>
      </c>
      <c r="R112" s="5"/>
      <c r="S112" s="5" t="s">
        <v>1010</v>
      </c>
      <c r="T112" s="5"/>
      <c r="U112" s="5" t="s">
        <v>1011</v>
      </c>
      <c r="V112" s="5" t="s">
        <v>68</v>
      </c>
      <c r="W112" s="5" t="s">
        <v>112</v>
      </c>
      <c r="X112" s="5" t="s">
        <v>68</v>
      </c>
    </row>
    <row r="113" customFormat="false" ht="22.35" hidden="false" customHeight="false" outlineLevel="0" collapsed="false">
      <c r="A113" s="5" t="s">
        <v>1012</v>
      </c>
      <c r="B113" s="5" t="s">
        <v>1013</v>
      </c>
      <c r="C113" s="5" t="s">
        <v>1014</v>
      </c>
      <c r="D113" s="5" t="n">
        <v>2024</v>
      </c>
      <c r="E113" s="5" t="s">
        <v>1015</v>
      </c>
      <c r="F113" s="5" t="s">
        <v>1016</v>
      </c>
      <c r="G113" s="5" t="s">
        <v>64</v>
      </c>
      <c r="H113" s="5" t="s">
        <v>1017</v>
      </c>
      <c r="I113" s="5" t="s">
        <v>908</v>
      </c>
      <c r="J113" s="5" t="s">
        <v>837</v>
      </c>
      <c r="K113" s="5"/>
      <c r="L113" s="5" t="s">
        <v>981</v>
      </c>
      <c r="M113" s="5" t="s">
        <v>982</v>
      </c>
      <c r="N113" s="5"/>
      <c r="O113" s="5"/>
      <c r="P113" s="5" t="s">
        <v>983</v>
      </c>
      <c r="Q113" s="5" t="s">
        <v>109</v>
      </c>
      <c r="R113" s="5"/>
      <c r="S113" s="5" t="s">
        <v>1018</v>
      </c>
      <c r="T113" s="5"/>
      <c r="U113" s="5" t="s">
        <v>1019</v>
      </c>
      <c r="V113" s="5" t="s">
        <v>68</v>
      </c>
      <c r="W113" s="5" t="s">
        <v>112</v>
      </c>
      <c r="X113" s="5" t="s">
        <v>68</v>
      </c>
    </row>
    <row r="114" customFormat="false" ht="22.35" hidden="false" customHeight="false" outlineLevel="0" collapsed="false">
      <c r="A114" s="5" t="s">
        <v>1020</v>
      </c>
      <c r="B114" s="5" t="s">
        <v>1021</v>
      </c>
      <c r="C114" s="5" t="s">
        <v>1022</v>
      </c>
      <c r="D114" s="5" t="n">
        <v>1969</v>
      </c>
      <c r="E114" s="5" t="s">
        <v>1023</v>
      </c>
      <c r="F114" s="5" t="s">
        <v>1024</v>
      </c>
      <c r="G114" s="5" t="s">
        <v>75</v>
      </c>
      <c r="H114" s="5" t="s">
        <v>1025</v>
      </c>
      <c r="I114" s="5" t="s">
        <v>908</v>
      </c>
      <c r="J114" s="5" t="s">
        <v>519</v>
      </c>
      <c r="K114" s="5"/>
      <c r="L114" s="5" t="s">
        <v>1026</v>
      </c>
      <c r="M114" s="5" t="s">
        <v>1027</v>
      </c>
      <c r="N114" s="5"/>
      <c r="O114" s="5"/>
      <c r="P114" s="5" t="s">
        <v>1028</v>
      </c>
      <c r="Q114" s="5" t="s">
        <v>49</v>
      </c>
      <c r="R114" s="5"/>
      <c r="S114" s="5" t="s">
        <v>1029</v>
      </c>
      <c r="T114" s="5"/>
      <c r="U114" s="5" t="s">
        <v>1030</v>
      </c>
      <c r="V114" s="5" t="s">
        <v>52</v>
      </c>
      <c r="W114" s="5"/>
      <c r="X114" s="5"/>
    </row>
    <row r="115" customFormat="false" ht="22.35" hidden="false" customHeight="false" outlineLevel="0" collapsed="false">
      <c r="A115" s="5" t="s">
        <v>1031</v>
      </c>
      <c r="B115" s="5" t="s">
        <v>1032</v>
      </c>
      <c r="C115" s="5" t="s">
        <v>1033</v>
      </c>
      <c r="D115" s="5" t="n">
        <v>1980</v>
      </c>
      <c r="E115" s="5" t="s">
        <v>1034</v>
      </c>
      <c r="F115" s="5" t="s">
        <v>1024</v>
      </c>
      <c r="G115" s="5" t="s">
        <v>75</v>
      </c>
      <c r="H115" s="5" t="s">
        <v>1035</v>
      </c>
      <c r="I115" s="5" t="s">
        <v>908</v>
      </c>
      <c r="J115" s="5" t="s">
        <v>519</v>
      </c>
      <c r="K115" s="5"/>
      <c r="L115" s="5" t="s">
        <v>1026</v>
      </c>
      <c r="M115" s="5" t="s">
        <v>1027</v>
      </c>
      <c r="N115" s="5"/>
      <c r="O115" s="5"/>
      <c r="P115" s="5" t="s">
        <v>1028</v>
      </c>
      <c r="Q115" s="5" t="s">
        <v>49</v>
      </c>
      <c r="R115" s="5"/>
      <c r="S115" s="5" t="s">
        <v>1036</v>
      </c>
      <c r="T115" s="5"/>
      <c r="U115" s="5" t="s">
        <v>1037</v>
      </c>
      <c r="V115" s="5" t="s">
        <v>52</v>
      </c>
      <c r="W115" s="5"/>
      <c r="X115" s="5"/>
    </row>
    <row r="116" customFormat="false" ht="22.35" hidden="false" customHeight="false" outlineLevel="0" collapsed="false">
      <c r="A116" s="5" t="s">
        <v>1038</v>
      </c>
      <c r="B116" s="5" t="s">
        <v>1039</v>
      </c>
      <c r="C116" s="5" t="s">
        <v>1040</v>
      </c>
      <c r="D116" s="5" t="n">
        <v>2000</v>
      </c>
      <c r="E116" s="5" t="s">
        <v>1041</v>
      </c>
      <c r="F116" s="5" t="s">
        <v>1042</v>
      </c>
      <c r="G116" s="5" t="s">
        <v>75</v>
      </c>
      <c r="H116" s="5" t="s">
        <v>1043</v>
      </c>
      <c r="I116" s="5" t="s">
        <v>908</v>
      </c>
      <c r="J116" s="5" t="s">
        <v>519</v>
      </c>
      <c r="K116" s="5"/>
      <c r="L116" s="5" t="s">
        <v>1026</v>
      </c>
      <c r="M116" s="5" t="s">
        <v>1027</v>
      </c>
      <c r="N116" s="5"/>
      <c r="O116" s="5"/>
      <c r="P116" s="5" t="s">
        <v>1028</v>
      </c>
      <c r="Q116" s="5" t="s">
        <v>49</v>
      </c>
      <c r="R116" s="5"/>
      <c r="S116" s="5" t="s">
        <v>1044</v>
      </c>
      <c r="T116" s="5"/>
      <c r="U116" s="5" t="s">
        <v>1045</v>
      </c>
      <c r="V116" s="5" t="s">
        <v>52</v>
      </c>
      <c r="W116" s="5"/>
      <c r="X116" s="5"/>
    </row>
    <row r="117" customFormat="false" ht="22.35" hidden="false" customHeight="false" outlineLevel="0" collapsed="false">
      <c r="A117" s="5" t="s">
        <v>1046</v>
      </c>
      <c r="B117" s="5" t="s">
        <v>1047</v>
      </c>
      <c r="C117" s="5" t="s">
        <v>1048</v>
      </c>
      <c r="D117" s="5" t="n">
        <v>1993</v>
      </c>
      <c r="E117" s="5" t="s">
        <v>1049</v>
      </c>
      <c r="F117" s="5" t="s">
        <v>1050</v>
      </c>
      <c r="G117" s="5" t="s">
        <v>64</v>
      </c>
      <c r="H117" s="5" t="s">
        <v>1051</v>
      </c>
      <c r="I117" s="5" t="s">
        <v>908</v>
      </c>
      <c r="J117" s="5" t="s">
        <v>519</v>
      </c>
      <c r="K117" s="5"/>
      <c r="L117" s="5" t="s">
        <v>1026</v>
      </c>
      <c r="M117" s="5" t="s">
        <v>1027</v>
      </c>
      <c r="N117" s="5"/>
      <c r="O117" s="5"/>
      <c r="P117" s="5" t="s">
        <v>1028</v>
      </c>
      <c r="Q117" s="5" t="s">
        <v>49</v>
      </c>
      <c r="R117" s="5"/>
      <c r="S117" s="5" t="s">
        <v>1052</v>
      </c>
      <c r="T117" s="5"/>
      <c r="U117" s="5" t="s">
        <v>1053</v>
      </c>
      <c r="V117" s="5" t="s">
        <v>52</v>
      </c>
      <c r="W117" s="5"/>
      <c r="X117" s="5"/>
    </row>
    <row r="118" customFormat="false" ht="22.35" hidden="false" customHeight="false" outlineLevel="0" collapsed="false">
      <c r="A118" s="5" t="s">
        <v>1054</v>
      </c>
      <c r="B118" s="5" t="s">
        <v>1055</v>
      </c>
      <c r="C118" s="5" t="s">
        <v>1056</v>
      </c>
      <c r="D118" s="5" t="n">
        <v>2008</v>
      </c>
      <c r="E118" s="5" t="s">
        <v>1057</v>
      </c>
      <c r="F118" s="5" t="s">
        <v>642</v>
      </c>
      <c r="G118" s="5" t="s">
        <v>75</v>
      </c>
      <c r="H118" s="5" t="s">
        <v>1058</v>
      </c>
      <c r="I118" s="5" t="s">
        <v>908</v>
      </c>
      <c r="J118" s="5" t="s">
        <v>519</v>
      </c>
      <c r="K118" s="5"/>
      <c r="L118" s="5" t="s">
        <v>1026</v>
      </c>
      <c r="M118" s="5" t="s">
        <v>1027</v>
      </c>
      <c r="N118" s="5"/>
      <c r="O118" s="5"/>
      <c r="P118" s="5" t="s">
        <v>1028</v>
      </c>
      <c r="Q118" s="5" t="s">
        <v>49</v>
      </c>
      <c r="R118" s="5"/>
      <c r="S118" s="5" t="s">
        <v>1059</v>
      </c>
      <c r="T118" s="5"/>
      <c r="U118" s="5" t="s">
        <v>1060</v>
      </c>
      <c r="V118" s="5" t="s">
        <v>52</v>
      </c>
      <c r="W118" s="5"/>
      <c r="X118" s="5"/>
    </row>
    <row r="119" customFormat="false" ht="22.35" hidden="false" customHeight="false" outlineLevel="0" collapsed="false">
      <c r="A119" s="5" t="s">
        <v>1061</v>
      </c>
      <c r="B119" s="5" t="s">
        <v>1062</v>
      </c>
      <c r="C119" s="5" t="s">
        <v>1063</v>
      </c>
      <c r="D119" s="5" t="n">
        <v>2010</v>
      </c>
      <c r="E119" s="5" t="s">
        <v>1064</v>
      </c>
      <c r="F119" s="5" t="s">
        <v>1065</v>
      </c>
      <c r="G119" s="5" t="s">
        <v>75</v>
      </c>
      <c r="H119" s="5" t="s">
        <v>1066</v>
      </c>
      <c r="I119" s="5" t="s">
        <v>908</v>
      </c>
      <c r="J119" s="5" t="s">
        <v>519</v>
      </c>
      <c r="K119" s="5"/>
      <c r="L119" s="5" t="s">
        <v>1026</v>
      </c>
      <c r="M119" s="5" t="s">
        <v>1027</v>
      </c>
      <c r="N119" s="5"/>
      <c r="O119" s="5"/>
      <c r="P119" s="5" t="s">
        <v>1028</v>
      </c>
      <c r="Q119" s="5" t="s">
        <v>49</v>
      </c>
      <c r="R119" s="5"/>
      <c r="S119" s="5" t="s">
        <v>1067</v>
      </c>
      <c r="T119" s="5"/>
      <c r="U119" s="5" t="s">
        <v>1068</v>
      </c>
      <c r="V119" s="5" t="s">
        <v>52</v>
      </c>
      <c r="W119" s="5"/>
      <c r="X119" s="5"/>
    </row>
    <row r="120" customFormat="false" ht="22.35" hidden="false" customHeight="false" outlineLevel="0" collapsed="false">
      <c r="A120" s="5" t="s">
        <v>1069</v>
      </c>
      <c r="B120" s="5" t="s">
        <v>1070</v>
      </c>
      <c r="C120" s="5" t="s">
        <v>1071</v>
      </c>
      <c r="D120" s="5" t="n">
        <v>2022</v>
      </c>
      <c r="E120" s="5" t="s">
        <v>1072</v>
      </c>
      <c r="F120" s="5" t="s">
        <v>1073</v>
      </c>
      <c r="G120" s="5" t="s">
        <v>75</v>
      </c>
      <c r="H120" s="5" t="s">
        <v>1074</v>
      </c>
      <c r="I120" s="5" t="s">
        <v>908</v>
      </c>
      <c r="J120" s="5" t="s">
        <v>519</v>
      </c>
      <c r="K120" s="5"/>
      <c r="L120" s="5" t="s">
        <v>1026</v>
      </c>
      <c r="M120" s="5" t="s">
        <v>1027</v>
      </c>
      <c r="N120" s="5"/>
      <c r="O120" s="5"/>
      <c r="P120" s="5" t="s">
        <v>1028</v>
      </c>
      <c r="Q120" s="5" t="s">
        <v>49</v>
      </c>
      <c r="R120" s="5"/>
      <c r="S120" s="5" t="s">
        <v>1075</v>
      </c>
      <c r="T120" s="5"/>
      <c r="U120" s="5" t="s">
        <v>1076</v>
      </c>
      <c r="V120" s="5" t="s">
        <v>68</v>
      </c>
      <c r="W120" s="5" t="s">
        <v>112</v>
      </c>
      <c r="X120" s="5" t="s">
        <v>68</v>
      </c>
    </row>
    <row r="121" customFormat="false" ht="22.35" hidden="false" customHeight="false" outlineLevel="0" collapsed="false">
      <c r="A121" s="5" t="s">
        <v>1077</v>
      </c>
      <c r="B121" s="5" t="s">
        <v>1078</v>
      </c>
      <c r="C121" s="5" t="s">
        <v>1079</v>
      </c>
      <c r="D121" s="5" t="n">
        <v>2024</v>
      </c>
      <c r="E121" s="5" t="s">
        <v>1080</v>
      </c>
      <c r="F121" s="5" t="s">
        <v>1081</v>
      </c>
      <c r="G121" s="5" t="s">
        <v>75</v>
      </c>
      <c r="H121" s="5" t="s">
        <v>1082</v>
      </c>
      <c r="I121" s="5" t="s">
        <v>908</v>
      </c>
      <c r="J121" s="5" t="s">
        <v>519</v>
      </c>
      <c r="K121" s="5"/>
      <c r="L121" s="5" t="s">
        <v>1026</v>
      </c>
      <c r="M121" s="5" t="s">
        <v>1027</v>
      </c>
      <c r="N121" s="5"/>
      <c r="O121" s="5"/>
      <c r="P121" s="5" t="s">
        <v>1028</v>
      </c>
      <c r="Q121" s="5" t="s">
        <v>49</v>
      </c>
      <c r="R121" s="5"/>
      <c r="S121" s="5" t="s">
        <v>1083</v>
      </c>
      <c r="T121" s="5"/>
      <c r="U121" s="5" t="s">
        <v>1084</v>
      </c>
      <c r="V121" s="5" t="s">
        <v>68</v>
      </c>
      <c r="W121" s="5" t="s">
        <v>69</v>
      </c>
      <c r="X121" s="5"/>
    </row>
    <row r="122" customFormat="false" ht="22.35" hidden="false" customHeight="false" outlineLevel="0" collapsed="false">
      <c r="A122" s="5" t="s">
        <v>1085</v>
      </c>
      <c r="B122" s="5" t="s">
        <v>1086</v>
      </c>
      <c r="C122" s="5" t="s">
        <v>1087</v>
      </c>
      <c r="D122" s="5" t="n">
        <v>2024</v>
      </c>
      <c r="E122" s="5" t="s">
        <v>1088</v>
      </c>
      <c r="F122" s="5" t="s">
        <v>1089</v>
      </c>
      <c r="G122" s="5" t="s">
        <v>75</v>
      </c>
      <c r="H122" s="5" t="s">
        <v>1090</v>
      </c>
      <c r="I122" s="5" t="s">
        <v>908</v>
      </c>
      <c r="J122" s="5" t="s">
        <v>519</v>
      </c>
      <c r="K122" s="5"/>
      <c r="L122" s="5" t="s">
        <v>1026</v>
      </c>
      <c r="M122" s="5" t="s">
        <v>1027</v>
      </c>
      <c r="N122" s="5"/>
      <c r="O122" s="5"/>
      <c r="P122" s="5" t="s">
        <v>1028</v>
      </c>
      <c r="Q122" s="5" t="s">
        <v>49</v>
      </c>
      <c r="R122" s="5"/>
      <c r="S122" s="5" t="s">
        <v>1091</v>
      </c>
      <c r="T122" s="5"/>
      <c r="U122" s="5" t="s">
        <v>1092</v>
      </c>
      <c r="V122" s="5" t="s">
        <v>68</v>
      </c>
      <c r="W122" s="5" t="s">
        <v>69</v>
      </c>
      <c r="X122" s="5"/>
    </row>
    <row r="123" customFormat="false" ht="22.35" hidden="false" customHeight="false" outlineLevel="0" collapsed="false">
      <c r="A123" s="5" t="s">
        <v>1093</v>
      </c>
      <c r="B123" s="5" t="s">
        <v>1094</v>
      </c>
      <c r="C123" s="5" t="s">
        <v>1095</v>
      </c>
      <c r="D123" s="5" t="n">
        <v>2019</v>
      </c>
      <c r="E123" s="5" t="s">
        <v>1096</v>
      </c>
      <c r="F123" s="5" t="s">
        <v>1097</v>
      </c>
      <c r="G123" s="5" t="s">
        <v>75</v>
      </c>
      <c r="H123" s="5" t="s">
        <v>1098</v>
      </c>
      <c r="I123" s="5" t="s">
        <v>908</v>
      </c>
      <c r="J123" s="5" t="s">
        <v>519</v>
      </c>
      <c r="K123" s="5"/>
      <c r="L123" s="5" t="s">
        <v>1026</v>
      </c>
      <c r="M123" s="5" t="s">
        <v>1027</v>
      </c>
      <c r="N123" s="5"/>
      <c r="O123" s="5"/>
      <c r="P123" s="5" t="s">
        <v>1028</v>
      </c>
      <c r="Q123" s="5" t="s">
        <v>49</v>
      </c>
      <c r="R123" s="5"/>
      <c r="S123" s="5" t="s">
        <v>1099</v>
      </c>
      <c r="T123" s="5"/>
      <c r="U123" s="5" t="s">
        <v>1100</v>
      </c>
      <c r="V123" s="5" t="s">
        <v>52</v>
      </c>
      <c r="W123" s="5"/>
      <c r="X123" s="5"/>
    </row>
    <row r="124" customFormat="false" ht="22.35" hidden="false" customHeight="false" outlineLevel="0" collapsed="false">
      <c r="A124" s="5" t="s">
        <v>1101</v>
      </c>
      <c r="B124" s="5" t="s">
        <v>1102</v>
      </c>
      <c r="C124" s="5" t="s">
        <v>1103</v>
      </c>
      <c r="D124" s="5" t="n">
        <v>2025</v>
      </c>
      <c r="E124" s="5" t="s">
        <v>1104</v>
      </c>
      <c r="F124" s="5" t="s">
        <v>1105</v>
      </c>
      <c r="G124" s="5" t="s">
        <v>75</v>
      </c>
      <c r="H124" s="5" t="s">
        <v>1106</v>
      </c>
      <c r="I124" s="5" t="s">
        <v>908</v>
      </c>
      <c r="J124" s="5" t="s">
        <v>519</v>
      </c>
      <c r="K124" s="5"/>
      <c r="L124" s="5" t="s">
        <v>1026</v>
      </c>
      <c r="M124" s="5" t="s">
        <v>1027</v>
      </c>
      <c r="N124" s="5"/>
      <c r="O124" s="5"/>
      <c r="P124" s="5" t="s">
        <v>1028</v>
      </c>
      <c r="Q124" s="5" t="s">
        <v>49</v>
      </c>
      <c r="R124" s="5"/>
      <c r="S124" s="5" t="s">
        <v>1107</v>
      </c>
      <c r="T124" s="5" t="s">
        <v>1108</v>
      </c>
      <c r="U124" s="5" t="s">
        <v>1109</v>
      </c>
      <c r="V124" s="5" t="s">
        <v>68</v>
      </c>
      <c r="W124" s="5" t="s">
        <v>112</v>
      </c>
      <c r="X124" s="5" t="s">
        <v>68</v>
      </c>
    </row>
    <row r="125" customFormat="false" ht="22.35" hidden="false" customHeight="false" outlineLevel="0" collapsed="false">
      <c r="A125" s="5" t="s">
        <v>1110</v>
      </c>
      <c r="B125" s="5" t="s">
        <v>1111</v>
      </c>
      <c r="C125" s="5" t="s">
        <v>1112</v>
      </c>
      <c r="D125" s="5" t="n">
        <v>2022</v>
      </c>
      <c r="E125" s="5" t="s">
        <v>1113</v>
      </c>
      <c r="F125" s="5" t="s">
        <v>1114</v>
      </c>
      <c r="G125" s="5" t="s">
        <v>75</v>
      </c>
      <c r="H125" s="5" t="s">
        <v>1115</v>
      </c>
      <c r="I125" s="5" t="s">
        <v>908</v>
      </c>
      <c r="J125" s="5" t="s">
        <v>519</v>
      </c>
      <c r="K125" s="5"/>
      <c r="L125" s="5" t="s">
        <v>1026</v>
      </c>
      <c r="M125" s="5" t="s">
        <v>1027</v>
      </c>
      <c r="N125" s="5"/>
      <c r="O125" s="5"/>
      <c r="P125" s="5" t="s">
        <v>1028</v>
      </c>
      <c r="Q125" s="5" t="s">
        <v>109</v>
      </c>
      <c r="R125" s="5" t="s">
        <v>984</v>
      </c>
      <c r="S125" s="5" t="s">
        <v>1116</v>
      </c>
      <c r="T125" s="5"/>
      <c r="U125" s="5" t="s">
        <v>1117</v>
      </c>
      <c r="V125" s="5" t="s">
        <v>68</v>
      </c>
      <c r="W125" s="5" t="s">
        <v>69</v>
      </c>
      <c r="X125" s="5"/>
    </row>
    <row r="126" customFormat="false" ht="22.35" hidden="false" customHeight="false" outlineLevel="0" collapsed="false">
      <c r="A126" s="5" t="s">
        <v>1118</v>
      </c>
      <c r="B126" s="5" t="s">
        <v>1119</v>
      </c>
      <c r="C126" s="5" t="s">
        <v>1120</v>
      </c>
      <c r="D126" s="5" t="n">
        <v>2024</v>
      </c>
      <c r="E126" s="5" t="s">
        <v>1121</v>
      </c>
      <c r="F126" s="5" t="s">
        <v>1122</v>
      </c>
      <c r="G126" s="5" t="s">
        <v>75</v>
      </c>
      <c r="H126" s="5" t="s">
        <v>1123</v>
      </c>
      <c r="I126" s="5" t="s">
        <v>908</v>
      </c>
      <c r="J126" s="5" t="s">
        <v>519</v>
      </c>
      <c r="K126" s="5"/>
      <c r="L126" s="5" t="s">
        <v>1026</v>
      </c>
      <c r="M126" s="5" t="s">
        <v>1027</v>
      </c>
      <c r="N126" s="5"/>
      <c r="O126" s="5"/>
      <c r="P126" s="5" t="s">
        <v>1028</v>
      </c>
      <c r="Q126" s="5" t="s">
        <v>109</v>
      </c>
      <c r="R126" s="5" t="s">
        <v>984</v>
      </c>
      <c r="S126" s="5" t="s">
        <v>1124</v>
      </c>
      <c r="T126" s="5"/>
      <c r="U126" s="5" t="s">
        <v>1125</v>
      </c>
      <c r="V126" s="5" t="s">
        <v>68</v>
      </c>
      <c r="W126" s="5" t="s">
        <v>69</v>
      </c>
      <c r="X126" s="5"/>
    </row>
    <row r="127" customFormat="false" ht="32.8" hidden="false" customHeight="false" outlineLevel="0" collapsed="false">
      <c r="A127" s="5" t="s">
        <v>1126</v>
      </c>
      <c r="B127" s="5" t="s">
        <v>1127</v>
      </c>
      <c r="C127" s="5" t="s">
        <v>1128</v>
      </c>
      <c r="D127" s="5" t="n">
        <v>2026</v>
      </c>
      <c r="E127" s="5" t="s">
        <v>1129</v>
      </c>
      <c r="F127" s="5" t="s">
        <v>1130</v>
      </c>
      <c r="G127" s="5" t="s">
        <v>75</v>
      </c>
      <c r="H127" s="5" t="s">
        <v>1131</v>
      </c>
      <c r="I127" s="5" t="s">
        <v>908</v>
      </c>
      <c r="J127" s="5" t="s">
        <v>519</v>
      </c>
      <c r="K127" s="5"/>
      <c r="L127" s="5" t="s">
        <v>1026</v>
      </c>
      <c r="M127" s="5" t="s">
        <v>1027</v>
      </c>
      <c r="N127" s="5"/>
      <c r="O127" s="5"/>
      <c r="P127" s="5" t="s">
        <v>1028</v>
      </c>
      <c r="Q127" s="5" t="s">
        <v>109</v>
      </c>
      <c r="R127" s="5" t="s">
        <v>984</v>
      </c>
      <c r="S127" s="5" t="s">
        <v>1132</v>
      </c>
      <c r="T127" s="5" t="s">
        <v>1133</v>
      </c>
      <c r="U127" s="5" t="s">
        <v>1134</v>
      </c>
      <c r="V127" s="5" t="s">
        <v>68</v>
      </c>
      <c r="W127" s="5" t="s">
        <v>112</v>
      </c>
      <c r="X127" s="5" t="s">
        <v>68</v>
      </c>
    </row>
  </sheetData>
  <autoFilter ref="A1:X1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4"/>
    <col collapsed="false" customWidth="true" hidden="false" outlineLevel="0" max="3" min="3" style="0" width="6"/>
    <col collapsed="false" customWidth="true" hidden="false" outlineLevel="0" max="4" min="4" style="0" width="50"/>
    <col collapsed="false" customWidth="true" hidden="false" outlineLevel="0" max="5" min="5" style="0" width="16"/>
    <col collapsed="false" customWidth="true" hidden="false" outlineLevel="0" max="6" min="6" style="0" width="26"/>
    <col collapsed="false" customWidth="true" hidden="false" outlineLevel="0" max="7" min="7" style="0" width="9"/>
    <col collapsed="false" customWidth="true" hidden="false" outlineLevel="0" max="8" min="8" style="0" width="60"/>
  </cols>
  <sheetData>
    <row r="1" customFormat="false" ht="35.05" hidden="false" customHeight="false" outlineLevel="0" collapsed="false">
      <c r="A1" s="4" t="s">
        <v>15</v>
      </c>
      <c r="B1" s="4" t="s">
        <v>16</v>
      </c>
      <c r="C1" s="4" t="s">
        <v>17</v>
      </c>
      <c r="D1" s="4" t="s">
        <v>18</v>
      </c>
      <c r="E1" s="4" t="s">
        <v>20</v>
      </c>
      <c r="F1" s="4" t="s">
        <v>21</v>
      </c>
      <c r="G1" s="4" t="s">
        <v>1135</v>
      </c>
      <c r="H1" s="4" t="s">
        <v>1136</v>
      </c>
    </row>
    <row r="2" customFormat="false" ht="22.35" hidden="false" customHeight="false" outlineLevel="0" collapsed="false">
      <c r="A2" s="5" t="s">
        <v>1137</v>
      </c>
      <c r="B2" s="5" t="s">
        <v>1138</v>
      </c>
      <c r="C2" s="5" t="n">
        <v>2018</v>
      </c>
      <c r="D2" s="5" t="s">
        <v>1139</v>
      </c>
      <c r="E2" s="5" t="s">
        <v>64</v>
      </c>
      <c r="F2" s="5" t="s">
        <v>1140</v>
      </c>
      <c r="G2" s="5" t="s">
        <v>1141</v>
      </c>
      <c r="H2" s="5" t="s">
        <v>1142</v>
      </c>
    </row>
    <row r="3" customFormat="false" ht="32.8" hidden="false" customHeight="false" outlineLevel="0" collapsed="false">
      <c r="A3" s="5" t="s">
        <v>1143</v>
      </c>
      <c r="B3" s="5" t="s">
        <v>1144</v>
      </c>
      <c r="C3" s="5" t="n">
        <v>2019</v>
      </c>
      <c r="D3" s="5" t="s">
        <v>1145</v>
      </c>
      <c r="E3" s="5" t="s">
        <v>613</v>
      </c>
      <c r="F3" s="5" t="s">
        <v>1146</v>
      </c>
      <c r="G3" s="5" t="s">
        <v>1141</v>
      </c>
      <c r="H3" s="5" t="s">
        <v>1147</v>
      </c>
    </row>
    <row r="4" customFormat="false" ht="22.35" hidden="false" customHeight="false" outlineLevel="0" collapsed="false">
      <c r="A4" s="5" t="s">
        <v>1148</v>
      </c>
      <c r="B4" s="5" t="s">
        <v>1149</v>
      </c>
      <c r="C4" s="5" t="n">
        <v>2025</v>
      </c>
      <c r="D4" s="5" t="s">
        <v>1150</v>
      </c>
      <c r="E4" s="5" t="s">
        <v>75</v>
      </c>
      <c r="F4" s="5" t="s">
        <v>1151</v>
      </c>
      <c r="G4" s="5" t="s">
        <v>1152</v>
      </c>
      <c r="H4" s="5" t="s">
        <v>1153</v>
      </c>
    </row>
    <row r="5" customFormat="false" ht="22.35" hidden="false" customHeight="false" outlineLevel="0" collapsed="false">
      <c r="A5" s="5" t="s">
        <v>1154</v>
      </c>
      <c r="B5" s="5" t="s">
        <v>1155</v>
      </c>
      <c r="C5" s="5" t="n">
        <v>2025</v>
      </c>
      <c r="D5" s="5" t="s">
        <v>1156</v>
      </c>
      <c r="E5" s="5" t="s">
        <v>180</v>
      </c>
      <c r="F5" s="5" t="s">
        <v>1157</v>
      </c>
      <c r="G5" s="5" t="s">
        <v>1152</v>
      </c>
      <c r="H5" s="5" t="s">
        <v>1158</v>
      </c>
    </row>
    <row r="6" customFormat="false" ht="22.35" hidden="false" customHeight="false" outlineLevel="0" collapsed="false">
      <c r="A6" s="5" t="s">
        <v>1159</v>
      </c>
      <c r="B6" s="5" t="s">
        <v>1160</v>
      </c>
      <c r="C6" s="5" t="n">
        <v>2024</v>
      </c>
      <c r="D6" s="5" t="s">
        <v>1161</v>
      </c>
      <c r="E6" s="5" t="s">
        <v>75</v>
      </c>
      <c r="F6" s="5" t="s">
        <v>1162</v>
      </c>
      <c r="G6" s="5" t="s">
        <v>1152</v>
      </c>
      <c r="H6" s="5" t="s">
        <v>1158</v>
      </c>
    </row>
    <row r="7" customFormat="false" ht="22.35" hidden="false" customHeight="false" outlineLevel="0" collapsed="false">
      <c r="A7" s="5" t="s">
        <v>1163</v>
      </c>
      <c r="B7" s="5" t="s">
        <v>1164</v>
      </c>
      <c r="C7" s="5" t="n">
        <v>2025</v>
      </c>
      <c r="D7" s="5" t="s">
        <v>1165</v>
      </c>
      <c r="E7" s="5" t="s">
        <v>64</v>
      </c>
      <c r="F7" s="5" t="s">
        <v>1166</v>
      </c>
      <c r="G7" s="5" t="s">
        <v>1152</v>
      </c>
      <c r="H7" s="5" t="s">
        <v>1158</v>
      </c>
    </row>
    <row r="8" customFormat="false" ht="22.35" hidden="false" customHeight="false" outlineLevel="0" collapsed="false">
      <c r="A8" s="5" t="s">
        <v>1167</v>
      </c>
      <c r="B8" s="5" t="s">
        <v>1168</v>
      </c>
      <c r="C8" s="5" t="n">
        <v>2025</v>
      </c>
      <c r="D8" s="5" t="s">
        <v>1169</v>
      </c>
      <c r="E8" s="5" t="s">
        <v>64</v>
      </c>
      <c r="F8" s="5" t="s">
        <v>1170</v>
      </c>
      <c r="G8" s="5" t="s">
        <v>1152</v>
      </c>
      <c r="H8" s="5" t="s">
        <v>1171</v>
      </c>
    </row>
    <row r="9" customFormat="false" ht="22.35" hidden="false" customHeight="false" outlineLevel="0" collapsed="false">
      <c r="A9" s="5" t="s">
        <v>1172</v>
      </c>
      <c r="B9" s="5" t="s">
        <v>1173</v>
      </c>
      <c r="C9" s="5" t="n">
        <v>2020</v>
      </c>
      <c r="D9" s="5" t="s">
        <v>1174</v>
      </c>
      <c r="E9" s="5" t="s">
        <v>75</v>
      </c>
      <c r="F9" s="5" t="s">
        <v>1175</v>
      </c>
      <c r="G9" s="5" t="s">
        <v>1176</v>
      </c>
      <c r="H9" s="5" t="s">
        <v>1177</v>
      </c>
    </row>
    <row r="10" customFormat="false" ht="32.8" hidden="false" customHeight="false" outlineLevel="0" collapsed="false">
      <c r="A10" s="5" t="s">
        <v>1178</v>
      </c>
      <c r="B10" s="5" t="s">
        <v>1179</v>
      </c>
      <c r="C10" s="5" t="n">
        <v>2022</v>
      </c>
      <c r="D10" s="5" t="s">
        <v>1180</v>
      </c>
      <c r="E10" s="5" t="s">
        <v>75</v>
      </c>
      <c r="F10" s="5" t="s">
        <v>1181</v>
      </c>
      <c r="G10" s="5" t="s">
        <v>1176</v>
      </c>
      <c r="H10" s="5" t="s">
        <v>1177</v>
      </c>
    </row>
    <row r="11" customFormat="false" ht="32.8" hidden="false" customHeight="false" outlineLevel="0" collapsed="false">
      <c r="A11" s="5" t="s">
        <v>1182</v>
      </c>
      <c r="B11" s="5" t="s">
        <v>1183</v>
      </c>
      <c r="C11" s="5" t="n">
        <v>2020</v>
      </c>
      <c r="D11" s="5" t="s">
        <v>1184</v>
      </c>
      <c r="E11" s="5" t="s">
        <v>75</v>
      </c>
      <c r="F11" s="5" t="s">
        <v>1185</v>
      </c>
      <c r="G11" s="5" t="s">
        <v>1176</v>
      </c>
      <c r="H11" s="5" t="s">
        <v>1177</v>
      </c>
    </row>
    <row r="12" customFormat="false" ht="22.35" hidden="false" customHeight="false" outlineLevel="0" collapsed="false">
      <c r="A12" s="5" t="s">
        <v>1186</v>
      </c>
      <c r="B12" s="5" t="s">
        <v>1187</v>
      </c>
      <c r="C12" s="5" t="n">
        <v>2022</v>
      </c>
      <c r="D12" s="5" t="s">
        <v>1188</v>
      </c>
      <c r="E12" s="5" t="s">
        <v>75</v>
      </c>
      <c r="F12" s="5" t="s">
        <v>1189</v>
      </c>
      <c r="G12" s="5" t="s">
        <v>1176</v>
      </c>
      <c r="H12" s="5" t="s">
        <v>1177</v>
      </c>
    </row>
    <row r="13" customFormat="false" ht="22.35" hidden="false" customHeight="false" outlineLevel="0" collapsed="false">
      <c r="A13" s="5" t="s">
        <v>1190</v>
      </c>
      <c r="B13" s="5" t="s">
        <v>1191</v>
      </c>
      <c r="C13" s="5" t="n">
        <v>2025</v>
      </c>
      <c r="D13" s="5" t="s">
        <v>1192</v>
      </c>
      <c r="E13" s="5" t="s">
        <v>75</v>
      </c>
      <c r="F13" s="5" t="s">
        <v>1193</v>
      </c>
      <c r="G13" s="5" t="s">
        <v>1176</v>
      </c>
      <c r="H13" s="5" t="s">
        <v>1177</v>
      </c>
    </row>
    <row r="14" customFormat="false" ht="22.35" hidden="false" customHeight="false" outlineLevel="0" collapsed="false">
      <c r="A14" s="5" t="s">
        <v>1194</v>
      </c>
      <c r="B14" s="5" t="s">
        <v>1195</v>
      </c>
      <c r="C14" s="5" t="n">
        <v>2025</v>
      </c>
      <c r="D14" s="5" t="s">
        <v>1196</v>
      </c>
      <c r="E14" s="5" t="s">
        <v>75</v>
      </c>
      <c r="F14" s="5" t="s">
        <v>1197</v>
      </c>
      <c r="G14" s="5" t="s">
        <v>1176</v>
      </c>
      <c r="H14" s="5" t="s">
        <v>1177</v>
      </c>
    </row>
    <row r="15" customFormat="false" ht="22.35" hidden="false" customHeight="false" outlineLevel="0" collapsed="false">
      <c r="A15" s="5" t="s">
        <v>1198</v>
      </c>
      <c r="B15" s="5" t="s">
        <v>1199</v>
      </c>
      <c r="C15" s="5" t="n">
        <v>2023</v>
      </c>
      <c r="D15" s="5" t="s">
        <v>1200</v>
      </c>
      <c r="E15" s="5" t="s">
        <v>75</v>
      </c>
      <c r="F15" s="5" t="s">
        <v>1201</v>
      </c>
      <c r="G15" s="5" t="s">
        <v>1176</v>
      </c>
      <c r="H15" s="5" t="s">
        <v>1177</v>
      </c>
    </row>
    <row r="16" customFormat="false" ht="22.35" hidden="false" customHeight="false" outlineLevel="0" collapsed="false">
      <c r="A16" s="5" t="s">
        <v>1202</v>
      </c>
      <c r="B16" s="5" t="s">
        <v>1203</v>
      </c>
      <c r="C16" s="5" t="n">
        <v>2004</v>
      </c>
      <c r="D16" s="5" t="s">
        <v>1204</v>
      </c>
      <c r="E16" s="5" t="s">
        <v>180</v>
      </c>
      <c r="F16" s="5" t="s">
        <v>1205</v>
      </c>
      <c r="G16" s="5" t="s">
        <v>1206</v>
      </c>
      <c r="H16" s="5" t="s">
        <v>1207</v>
      </c>
    </row>
    <row r="17" customFormat="false" ht="22.35" hidden="false" customHeight="false" outlineLevel="0" collapsed="false">
      <c r="A17" s="5" t="s">
        <v>1208</v>
      </c>
      <c r="B17" s="5" t="s">
        <v>1209</v>
      </c>
      <c r="C17" s="5" t="n">
        <v>2015</v>
      </c>
      <c r="D17" s="5" t="s">
        <v>1210</v>
      </c>
      <c r="E17" s="5" t="s">
        <v>180</v>
      </c>
      <c r="F17" s="5" t="s">
        <v>1211</v>
      </c>
      <c r="G17" s="5" t="s">
        <v>1206</v>
      </c>
      <c r="H17" s="5" t="s">
        <v>1207</v>
      </c>
    </row>
    <row r="18" customFormat="false" ht="32.8" hidden="false" customHeight="false" outlineLevel="0" collapsed="false">
      <c r="A18" s="5" t="s">
        <v>1212</v>
      </c>
      <c r="B18" s="5" t="s">
        <v>1213</v>
      </c>
      <c r="C18" s="5" t="n">
        <v>2020</v>
      </c>
      <c r="D18" s="5" t="s">
        <v>1214</v>
      </c>
      <c r="E18" s="5" t="s">
        <v>180</v>
      </c>
      <c r="F18" s="5" t="s">
        <v>1215</v>
      </c>
      <c r="G18" s="5" t="s">
        <v>1206</v>
      </c>
      <c r="H18" s="5" t="s">
        <v>1207</v>
      </c>
    </row>
    <row r="19" customFormat="false" ht="32.8" hidden="false" customHeight="false" outlineLevel="0" collapsed="false">
      <c r="A19" s="5" t="s">
        <v>1216</v>
      </c>
      <c r="B19" s="5" t="s">
        <v>1217</v>
      </c>
      <c r="C19" s="5" t="n">
        <v>2012</v>
      </c>
      <c r="D19" s="5" t="s">
        <v>1218</v>
      </c>
      <c r="E19" s="5" t="s">
        <v>180</v>
      </c>
      <c r="F19" s="5"/>
      <c r="G19" s="5" t="s">
        <v>1206</v>
      </c>
      <c r="H19" s="5" t="s">
        <v>1207</v>
      </c>
    </row>
    <row r="20" customFormat="false" ht="53.7" hidden="false" customHeight="false" outlineLevel="0" collapsed="false">
      <c r="A20" s="5" t="s">
        <v>1219</v>
      </c>
      <c r="B20" s="5" t="s">
        <v>1220</v>
      </c>
      <c r="C20" s="5" t="n">
        <v>2021</v>
      </c>
      <c r="D20" s="5" t="s">
        <v>1221</v>
      </c>
      <c r="E20" s="5" t="s">
        <v>75</v>
      </c>
      <c r="F20" s="5" t="s">
        <v>1222</v>
      </c>
      <c r="G20" s="5" t="s">
        <v>1223</v>
      </c>
      <c r="H20" s="5" t="s">
        <v>1224</v>
      </c>
    </row>
    <row r="21" customFormat="false" ht="43.25" hidden="false" customHeight="false" outlineLevel="0" collapsed="false">
      <c r="A21" s="5" t="s">
        <v>1225</v>
      </c>
      <c r="B21" s="5" t="s">
        <v>1226</v>
      </c>
      <c r="C21" s="5" t="n">
        <v>2012</v>
      </c>
      <c r="D21" s="5" t="s">
        <v>1227</v>
      </c>
      <c r="E21" s="5" t="s">
        <v>75</v>
      </c>
      <c r="F21" s="5" t="s">
        <v>1228</v>
      </c>
      <c r="G21" s="5" t="s">
        <v>1229</v>
      </c>
      <c r="H21" s="5" t="s">
        <v>1230</v>
      </c>
    </row>
  </sheetData>
  <autoFilter ref="A1:H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60"/>
    <col collapsed="false" customWidth="true" hidden="false" outlineLevel="0" max="3" min="3" style="0" width="110"/>
  </cols>
  <sheetData>
    <row r="1" customFormat="false" ht="15" hidden="false" customHeight="false" outlineLevel="0" collapsed="false">
      <c r="A1" s="4" t="s">
        <v>1231</v>
      </c>
      <c r="B1" s="4" t="s">
        <v>1232</v>
      </c>
      <c r="C1" s="4" t="s">
        <v>1233</v>
      </c>
    </row>
    <row r="2" customFormat="false" ht="15" hidden="false" customHeight="false" outlineLevel="0" collapsed="false">
      <c r="A2" s="5" t="s">
        <v>14</v>
      </c>
      <c r="B2" s="5"/>
      <c r="C2" s="5" t="s">
        <v>1234</v>
      </c>
    </row>
    <row r="3" customFormat="false" ht="15" hidden="false" customHeight="false" outlineLevel="0" collapsed="false">
      <c r="A3" s="5" t="s">
        <v>15</v>
      </c>
      <c r="B3" s="5"/>
      <c r="C3" s="5" t="s">
        <v>1235</v>
      </c>
    </row>
    <row r="4" customFormat="false" ht="22.35" hidden="false" customHeight="false" outlineLevel="0" collapsed="false">
      <c r="A4" s="5" t="s">
        <v>20</v>
      </c>
      <c r="B4" s="5" t="s">
        <v>1236</v>
      </c>
      <c r="C4" s="5" t="s">
        <v>1237</v>
      </c>
    </row>
    <row r="5" customFormat="false" ht="22.35" hidden="false" customHeight="false" outlineLevel="0" collapsed="false">
      <c r="A5" s="5" t="s">
        <v>22</v>
      </c>
      <c r="B5" s="5" t="s">
        <v>1238</v>
      </c>
      <c r="C5" s="5" t="s">
        <v>1239</v>
      </c>
    </row>
    <row r="6" customFormat="false" ht="15" hidden="false" customHeight="false" outlineLevel="0" collapsed="false">
      <c r="A6" s="5" t="s">
        <v>23</v>
      </c>
      <c r="B6" s="5" t="s">
        <v>1240</v>
      </c>
      <c r="C6" s="5" t="s">
        <v>1241</v>
      </c>
    </row>
    <row r="7" customFormat="false" ht="22.35" hidden="false" customHeight="false" outlineLevel="0" collapsed="false">
      <c r="A7" s="5" t="s">
        <v>24</v>
      </c>
      <c r="B7" s="5"/>
      <c r="C7" s="5" t="s">
        <v>1242</v>
      </c>
    </row>
    <row r="8" customFormat="false" ht="15" hidden="false" customHeight="false" outlineLevel="0" collapsed="false">
      <c r="A8" s="5" t="s">
        <v>1243</v>
      </c>
      <c r="B8" s="5"/>
      <c r="C8" s="5" t="s">
        <v>1244</v>
      </c>
    </row>
    <row r="9" customFormat="false" ht="15" hidden="false" customHeight="false" outlineLevel="0" collapsed="false">
      <c r="A9" s="5" t="s">
        <v>27</v>
      </c>
      <c r="B9" s="5" t="s">
        <v>1245</v>
      </c>
      <c r="C9" s="5" t="s">
        <v>1246</v>
      </c>
    </row>
    <row r="10" customFormat="false" ht="15" hidden="false" customHeight="false" outlineLevel="0" collapsed="false">
      <c r="A10" s="5" t="s">
        <v>29</v>
      </c>
      <c r="B10" s="5"/>
      <c r="C10" s="5" t="s">
        <v>1247</v>
      </c>
    </row>
    <row r="11" customFormat="false" ht="15" hidden="false" customHeight="false" outlineLevel="0" collapsed="false">
      <c r="A11" s="5" t="s">
        <v>30</v>
      </c>
      <c r="B11" s="5" t="s">
        <v>109</v>
      </c>
      <c r="C11" s="5" t="s">
        <v>1248</v>
      </c>
    </row>
    <row r="12" customFormat="false" ht="15" hidden="false" customHeight="false" outlineLevel="0" collapsed="false">
      <c r="A12" s="5" t="s">
        <v>30</v>
      </c>
      <c r="B12" s="5" t="s">
        <v>49</v>
      </c>
      <c r="C12" s="5" t="s">
        <v>1249</v>
      </c>
    </row>
    <row r="13" customFormat="false" ht="15" hidden="false" customHeight="false" outlineLevel="0" collapsed="false">
      <c r="A13" s="5" t="s">
        <v>31</v>
      </c>
      <c r="B13" s="5" t="s">
        <v>984</v>
      </c>
      <c r="C13" s="5" t="s">
        <v>1250</v>
      </c>
    </row>
    <row r="14" customFormat="false" ht="22.35" hidden="false" customHeight="false" outlineLevel="0" collapsed="false">
      <c r="A14" s="5" t="s">
        <v>32</v>
      </c>
      <c r="B14" s="5"/>
      <c r="C14" s="5" t="s">
        <v>1251</v>
      </c>
    </row>
    <row r="15" customFormat="false" ht="15" hidden="false" customHeight="false" outlineLevel="0" collapsed="false">
      <c r="A15" s="5" t="s">
        <v>33</v>
      </c>
      <c r="B15" s="5"/>
      <c r="C15" s="5" t="s">
        <v>1252</v>
      </c>
    </row>
    <row r="16" customFormat="false" ht="15" hidden="false" customHeight="false" outlineLevel="0" collapsed="false">
      <c r="A16" s="5" t="s">
        <v>34</v>
      </c>
      <c r="B16" s="5"/>
      <c r="C16" s="5" t="s">
        <v>1253</v>
      </c>
    </row>
    <row r="17" customFormat="false" ht="22.35" hidden="false" customHeight="false" outlineLevel="0" collapsed="false">
      <c r="A17" s="5" t="s">
        <v>35</v>
      </c>
      <c r="B17" s="5" t="s">
        <v>1254</v>
      </c>
      <c r="C17" s="5" t="s">
        <v>1255</v>
      </c>
    </row>
    <row r="18" customFormat="false" ht="22.35" hidden="false" customHeight="false" outlineLevel="0" collapsed="false">
      <c r="A18" s="5" t="s">
        <v>36</v>
      </c>
      <c r="B18" s="5" t="s">
        <v>1256</v>
      </c>
      <c r="C18" s="5" t="s">
        <v>1257</v>
      </c>
    </row>
    <row r="19" customFormat="false" ht="32.8" hidden="false" customHeight="false" outlineLevel="0" collapsed="false">
      <c r="A19" s="5" t="s">
        <v>37</v>
      </c>
      <c r="B19" s="5" t="s">
        <v>1258</v>
      </c>
      <c r="C19" s="5" t="s">
        <v>1259</v>
      </c>
    </row>
  </sheetData>
  <autoFilter ref="A1:C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90"/>
    <col collapsed="false" customWidth="true" hidden="false" outlineLevel="0" max="4" min="4" style="0" width="40"/>
    <col collapsed="false" customWidth="true" hidden="false" outlineLevel="0" max="6" min="5" style="0" width="12"/>
  </cols>
  <sheetData>
    <row r="1" customFormat="false" ht="23.85" hidden="false" customHeight="false" outlineLevel="0" collapsed="false">
      <c r="A1" s="4" t="s">
        <v>1260</v>
      </c>
      <c r="B1" s="4" t="s">
        <v>1261</v>
      </c>
      <c r="C1" s="4" t="s">
        <v>1262</v>
      </c>
      <c r="D1" s="4" t="s">
        <v>1263</v>
      </c>
      <c r="E1" s="4" t="s">
        <v>1264</v>
      </c>
      <c r="F1" s="4" t="s">
        <v>1265</v>
      </c>
    </row>
    <row r="2" customFormat="false" ht="43.25" hidden="false" customHeight="false" outlineLevel="0" collapsed="false">
      <c r="A2" s="5" t="s">
        <v>185</v>
      </c>
      <c r="B2" s="5" t="s">
        <v>1266</v>
      </c>
      <c r="C2" s="5" t="s">
        <v>1267</v>
      </c>
      <c r="D2" s="5" t="s">
        <v>1268</v>
      </c>
      <c r="E2" s="5" t="s">
        <v>186</v>
      </c>
      <c r="F2" s="5" t="n">
        <f aca="false">COUNTIF(Data!$N$2:$N$127,A2)</f>
        <v>6</v>
      </c>
    </row>
    <row r="3" customFormat="false" ht="32.8" hidden="false" customHeight="false" outlineLevel="0" collapsed="false">
      <c r="A3" s="5" t="s">
        <v>240</v>
      </c>
      <c r="B3" s="5" t="s">
        <v>1269</v>
      </c>
      <c r="C3" s="5" t="s">
        <v>1270</v>
      </c>
      <c r="D3" s="5" t="s">
        <v>1268</v>
      </c>
      <c r="E3" s="5" t="s">
        <v>241</v>
      </c>
      <c r="F3" s="5" t="n">
        <f aca="false">COUNTIF(Data!$N$2:$N$127,A3)</f>
        <v>8</v>
      </c>
    </row>
    <row r="4" customFormat="false" ht="22.35" hidden="false" customHeight="false" outlineLevel="0" collapsed="false">
      <c r="A4" s="5" t="s">
        <v>308</v>
      </c>
      <c r="B4" s="5" t="s">
        <v>1271</v>
      </c>
      <c r="C4" s="5" t="s">
        <v>1272</v>
      </c>
      <c r="D4" s="5" t="s">
        <v>1268</v>
      </c>
      <c r="E4" s="5" t="s">
        <v>309</v>
      </c>
      <c r="F4" s="5" t="n">
        <f aca="false">COUNTIF(Data!$N$2:$N$127,A4)</f>
        <v>6</v>
      </c>
    </row>
    <row r="5" customFormat="false" ht="43.25" hidden="false" customHeight="false" outlineLevel="0" collapsed="false">
      <c r="A5" s="5" t="s">
        <v>362</v>
      </c>
      <c r="B5" s="5" t="s">
        <v>1273</v>
      </c>
      <c r="C5" s="5" t="s">
        <v>1274</v>
      </c>
      <c r="D5" s="5" t="s">
        <v>1268</v>
      </c>
      <c r="E5" s="5" t="s">
        <v>363</v>
      </c>
      <c r="F5" s="5" t="n">
        <f aca="false">COUNTIF(Data!$N$2:$N$127,A5)</f>
        <v>8</v>
      </c>
    </row>
    <row r="6" customFormat="false" ht="32.8" hidden="false" customHeight="false" outlineLevel="0" collapsed="false">
      <c r="A6" s="5" t="s">
        <v>431</v>
      </c>
      <c r="B6" s="5" t="s">
        <v>1275</v>
      </c>
      <c r="C6" s="5" t="s">
        <v>1276</v>
      </c>
      <c r="D6" s="5" t="s">
        <v>1268</v>
      </c>
      <c r="E6" s="5" t="s">
        <v>432</v>
      </c>
      <c r="F6" s="5" t="n">
        <f aca="false">COUNTIF(Data!$N$2:$N$127,A6)</f>
        <v>8</v>
      </c>
    </row>
    <row r="7" customFormat="false" ht="32.8" hidden="false" customHeight="false" outlineLevel="0" collapsed="false">
      <c r="A7" s="5" t="s">
        <v>495</v>
      </c>
      <c r="B7" s="5" t="s">
        <v>1277</v>
      </c>
      <c r="C7" s="5" t="s">
        <v>1278</v>
      </c>
      <c r="D7" s="5" t="s">
        <v>1268</v>
      </c>
      <c r="E7" s="5" t="s">
        <v>496</v>
      </c>
      <c r="F7" s="5" t="n">
        <f aca="false">COUNTIF(Data!$N$2:$N$127,A7)</f>
        <v>8</v>
      </c>
    </row>
    <row r="8" customFormat="false" ht="22.35" hidden="false" customHeight="false" outlineLevel="0" collapsed="false">
      <c r="A8" s="5" t="s">
        <v>562</v>
      </c>
      <c r="B8" s="5" t="s">
        <v>1279</v>
      </c>
      <c r="C8" s="5" t="s">
        <v>1280</v>
      </c>
      <c r="D8" s="5" t="s">
        <v>1281</v>
      </c>
      <c r="E8" s="5" t="s">
        <v>563</v>
      </c>
      <c r="F8" s="5" t="n">
        <f aca="false">COUNTIF(Data!$N$2:$N$127,A8)</f>
        <v>8</v>
      </c>
    </row>
    <row r="9" customFormat="false" ht="22.35" hidden="false" customHeight="false" outlineLevel="0" collapsed="false">
      <c r="A9" s="5" t="s">
        <v>634</v>
      </c>
      <c r="B9" s="5" t="s">
        <v>1282</v>
      </c>
      <c r="C9" s="5" t="s">
        <v>1283</v>
      </c>
      <c r="D9" s="5" t="s">
        <v>1281</v>
      </c>
      <c r="E9" s="5" t="s">
        <v>635</v>
      </c>
      <c r="F9" s="5" t="n">
        <f aca="false">COUNTIF(Data!$N$2:$N$127,A9)</f>
        <v>7</v>
      </c>
    </row>
    <row r="10" customFormat="false" ht="22.35" hidden="false" customHeight="false" outlineLevel="0" collapsed="false">
      <c r="A10" s="5" t="s">
        <v>695</v>
      </c>
      <c r="B10" s="5" t="s">
        <v>1284</v>
      </c>
      <c r="C10" s="5" t="s">
        <v>1285</v>
      </c>
      <c r="D10" s="5" t="s">
        <v>1281</v>
      </c>
      <c r="E10" s="5" t="s">
        <v>696</v>
      </c>
      <c r="F10" s="5" t="n">
        <f aca="false">COUNTIF(Data!$N$2:$N$127,A10)</f>
        <v>9</v>
      </c>
    </row>
    <row r="11" customFormat="false" ht="22.35" hidden="false" customHeight="false" outlineLevel="0" collapsed="false">
      <c r="A11" s="5" t="s">
        <v>772</v>
      </c>
      <c r="B11" s="5" t="s">
        <v>1286</v>
      </c>
      <c r="C11" s="5" t="s">
        <v>1287</v>
      </c>
      <c r="D11" s="5" t="s">
        <v>1281</v>
      </c>
      <c r="E11" s="5" t="s">
        <v>773</v>
      </c>
      <c r="F11" s="5" t="n">
        <f aca="false">COUNTIF(Data!$N$2:$N$127,A11)</f>
        <v>8</v>
      </c>
    </row>
    <row r="12" customFormat="false" ht="22.35" hidden="false" customHeight="false" outlineLevel="0" collapsed="false">
      <c r="A12" s="5" t="s">
        <v>839</v>
      </c>
      <c r="B12" s="5" t="s">
        <v>1288</v>
      </c>
      <c r="C12" s="5" t="s">
        <v>1289</v>
      </c>
      <c r="D12" s="5" t="s">
        <v>1281</v>
      </c>
      <c r="E12" s="5" t="s">
        <v>840</v>
      </c>
      <c r="F12" s="5" t="n">
        <f aca="false">COUNTIF(Data!$N$2:$N$127,A12)</f>
        <v>8</v>
      </c>
    </row>
    <row r="13" customFormat="false" ht="15" hidden="false" customHeight="false" outlineLevel="0" collapsed="false">
      <c r="A13" s="6"/>
      <c r="B13" s="6"/>
      <c r="C13" s="6"/>
      <c r="D13" s="6"/>
      <c r="E13" s="7" t="s">
        <v>1290</v>
      </c>
      <c r="F13" s="7" t="n">
        <f aca="false">SUM(F2:F12)</f>
        <v>84</v>
      </c>
    </row>
    <row r="14" customFormat="false" ht="15" hidden="false" customHeight="false" outlineLevel="0" collapsed="false">
      <c r="A14" s="6"/>
      <c r="B14" s="6"/>
      <c r="C14" s="6"/>
      <c r="D14" s="6"/>
      <c r="E14" s="6"/>
      <c r="F14" s="6"/>
    </row>
    <row r="15" customFormat="false" ht="15" hidden="false" customHeight="false" outlineLevel="0" collapsed="false">
      <c r="A15" s="8" t="s">
        <v>1291</v>
      </c>
      <c r="B15" s="6"/>
      <c r="C15" s="6"/>
      <c r="D15" s="6"/>
      <c r="E15" s="6"/>
      <c r="F15" s="6"/>
    </row>
    <row r="16" customFormat="false" ht="15" hidden="false" customHeight="false" outlineLevel="0" collapsed="false">
      <c r="A16" s="8" t="s">
        <v>1292</v>
      </c>
      <c r="B16" s="6"/>
      <c r="C16" s="6"/>
      <c r="D16" s="6"/>
      <c r="E16" s="6"/>
      <c r="F16" s="6"/>
    </row>
  </sheetData>
  <autoFilter ref="A1:F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4"/>
    <col collapsed="false" customWidth="true" hidden="false" outlineLevel="0" max="4" min="3" style="0" width="12"/>
  </cols>
  <sheetData>
    <row r="1" customFormat="false" ht="15" hidden="false" customHeight="false" outlineLevel="0" collapsed="false">
      <c r="A1" s="9" t="s">
        <v>1293</v>
      </c>
      <c r="B1" s="9" t="s">
        <v>1294</v>
      </c>
      <c r="C1" s="9" t="s">
        <v>1295</v>
      </c>
      <c r="D1" s="9" t="s">
        <v>1296</v>
      </c>
    </row>
    <row r="2" customFormat="false" ht="15" hidden="false" customHeight="false" outlineLevel="0" collapsed="false">
      <c r="A2" s="10" t="s">
        <v>75</v>
      </c>
      <c r="B2" s="11" t="n">
        <v>103</v>
      </c>
      <c r="C2" s="10" t="n">
        <f aca="false">COUNTIF(Data!$G$2:$G$127,A2)</f>
        <v>103</v>
      </c>
      <c r="D2" s="10" t="n">
        <f aca="false">C2-B2</f>
        <v>0</v>
      </c>
    </row>
    <row r="3" customFormat="false" ht="15" hidden="false" customHeight="false" outlineLevel="0" collapsed="false">
      <c r="A3" s="10" t="s">
        <v>180</v>
      </c>
      <c r="B3" s="11" t="n">
        <v>7</v>
      </c>
      <c r="C3" s="10" t="n">
        <f aca="false">COUNTIF(Data!$G$2:$G$127,A3)</f>
        <v>7</v>
      </c>
      <c r="D3" s="10" t="n">
        <f aca="false">C3-B3</f>
        <v>0</v>
      </c>
    </row>
    <row r="4" customFormat="false" ht="15" hidden="false" customHeight="false" outlineLevel="0" collapsed="false">
      <c r="A4" s="10" t="s">
        <v>43</v>
      </c>
      <c r="B4" s="11" t="n">
        <v>3</v>
      </c>
      <c r="C4" s="10" t="n">
        <f aca="false">COUNTIF(Data!$G$2:$G$127,A4)</f>
        <v>3</v>
      </c>
      <c r="D4" s="10" t="n">
        <f aca="false">C4-B4</f>
        <v>0</v>
      </c>
    </row>
    <row r="5" customFormat="false" ht="15" hidden="false" customHeight="false" outlineLevel="0" collapsed="false">
      <c r="A5" s="10" t="s">
        <v>613</v>
      </c>
      <c r="B5" s="11" t="n">
        <v>2</v>
      </c>
      <c r="C5" s="10" t="n">
        <f aca="false">COUNTIF(Data!$G$2:$G$127,A5)</f>
        <v>2</v>
      </c>
      <c r="D5" s="10" t="n">
        <f aca="false">C5-B5</f>
        <v>0</v>
      </c>
    </row>
    <row r="6" customFormat="false" ht="15" hidden="false" customHeight="false" outlineLevel="0" collapsed="false">
      <c r="A6" s="10" t="s">
        <v>64</v>
      </c>
      <c r="B6" s="11" t="n">
        <v>11</v>
      </c>
      <c r="C6" s="10" t="n">
        <f aca="false">COUNTIF(Data!$G$2:$G$127,A6)</f>
        <v>11</v>
      </c>
      <c r="D6" s="10" t="n">
        <f aca="false">C6-B6</f>
        <v>0</v>
      </c>
    </row>
    <row r="7" customFormat="false" ht="15" hidden="false" customHeight="false" outlineLevel="0" collapsed="false">
      <c r="A7" s="7" t="s">
        <v>1290</v>
      </c>
      <c r="B7" s="7" t="n">
        <f aca="false">SUM(B2:B6)</f>
        <v>126</v>
      </c>
      <c r="C7" s="7" t="n">
        <f aca="false">SUM(C2:C6)</f>
        <v>126</v>
      </c>
      <c r="D7" s="7" t="n">
        <f aca="false">SUM(D2:D6)</f>
        <v>0</v>
      </c>
    </row>
    <row r="8" customFormat="false" ht="15" hidden="false" customHeight="false" outlineLevel="0" collapsed="false">
      <c r="A8" s="6"/>
      <c r="B8" s="6"/>
      <c r="C8" s="6"/>
      <c r="D8" s="6"/>
    </row>
    <row r="9" customFormat="false" ht="15" hidden="false" customHeight="false" outlineLevel="0" collapsed="false">
      <c r="A9" s="9" t="s">
        <v>1297</v>
      </c>
      <c r="B9" s="9" t="s">
        <v>1298</v>
      </c>
      <c r="C9" s="9" t="s">
        <v>1295</v>
      </c>
      <c r="D9" s="9" t="s">
        <v>1296</v>
      </c>
    </row>
    <row r="10" customFormat="false" ht="15" hidden="false" customHeight="false" outlineLevel="0" collapsed="false">
      <c r="A10" s="10" t="s">
        <v>44</v>
      </c>
      <c r="B10" s="11" t="n">
        <v>59</v>
      </c>
      <c r="C10" s="10" t="n">
        <f aca="false">COUNTIF(Data!$I$2:$I$127,A10)</f>
        <v>59</v>
      </c>
      <c r="D10" s="10" t="n">
        <f aca="false">C10-B10</f>
        <v>0</v>
      </c>
    </row>
    <row r="11" customFormat="false" ht="15" hidden="false" customHeight="false" outlineLevel="0" collapsed="false">
      <c r="A11" s="10" t="s">
        <v>558</v>
      </c>
      <c r="B11" s="11" t="n">
        <v>40</v>
      </c>
      <c r="C11" s="10" t="n">
        <f aca="false">COUNTIF(Data!$I$2:$I$127,A11)</f>
        <v>40</v>
      </c>
      <c r="D11" s="10" t="n">
        <f aca="false">C11-B11</f>
        <v>0</v>
      </c>
    </row>
    <row r="12" customFormat="false" ht="15" hidden="false" customHeight="false" outlineLevel="0" collapsed="false">
      <c r="A12" s="10" t="s">
        <v>908</v>
      </c>
      <c r="B12" s="11" t="n">
        <v>27</v>
      </c>
      <c r="C12" s="10" t="n">
        <f aca="false">COUNTIF(Data!$I$2:$I$127,A12)</f>
        <v>27</v>
      </c>
      <c r="D12" s="10" t="n">
        <f aca="false">C12-B12</f>
        <v>0</v>
      </c>
    </row>
    <row r="13" customFormat="false" ht="15" hidden="false" customHeight="false" outlineLevel="0" collapsed="false">
      <c r="A13" s="7" t="s">
        <v>1290</v>
      </c>
      <c r="B13" s="7" t="n">
        <f aca="false">SUM(B10:B12)</f>
        <v>126</v>
      </c>
      <c r="C13" s="7" t="n">
        <f aca="false">SUM(C10:C12)</f>
        <v>126</v>
      </c>
      <c r="D13" s="7" t="n">
        <f aca="false">SUM(D10:D12)</f>
        <v>0</v>
      </c>
    </row>
    <row r="14" customFormat="false" ht="15" hidden="false" customHeight="false" outlineLevel="0" collapsed="false">
      <c r="A14" s="6"/>
      <c r="B14" s="6"/>
      <c r="C14" s="6"/>
      <c r="D14" s="6"/>
    </row>
    <row r="15" customFormat="false" ht="15" hidden="false" customHeight="false" outlineLevel="0" collapsed="false">
      <c r="A15" s="9" t="s">
        <v>1299</v>
      </c>
      <c r="B15" s="6"/>
      <c r="C15" s="9" t="s">
        <v>1295</v>
      </c>
      <c r="D15" s="6"/>
    </row>
    <row r="16" customFormat="false" ht="15" hidden="false" customHeight="false" outlineLevel="0" collapsed="false">
      <c r="A16" s="10" t="s">
        <v>109</v>
      </c>
      <c r="B16" s="6"/>
      <c r="C16" s="10" t="n">
        <f aca="false">COUNTIF(Data!$Q$2:$Q$127,A16)</f>
        <v>89</v>
      </c>
      <c r="D16" s="6"/>
    </row>
    <row r="17" customFormat="false" ht="15" hidden="false" customHeight="false" outlineLevel="0" collapsed="false">
      <c r="A17" s="10" t="s">
        <v>49</v>
      </c>
      <c r="B17" s="6"/>
      <c r="C17" s="10" t="n">
        <f aca="false">COUNTIF(Data!$Q$2:$Q$127,A17)</f>
        <v>37</v>
      </c>
      <c r="D17" s="6"/>
    </row>
    <row r="18" customFormat="false" ht="15" hidden="false" customHeight="false" outlineLevel="0" collapsed="false">
      <c r="A18" s="6"/>
      <c r="B18" s="6"/>
      <c r="C18" s="6"/>
      <c r="D18" s="6"/>
    </row>
    <row r="19" customFormat="false" ht="15" hidden="false" customHeight="false" outlineLevel="0" collapsed="false">
      <c r="A19" s="10" t="s">
        <v>1300</v>
      </c>
      <c r="B19" s="11" t="s">
        <v>1301</v>
      </c>
      <c r="C19" s="10" t="str">
        <f aca="false">MIN(Data!$D$2:$D$127)&amp;"-"&amp;MAX(Data!$D$2:$D$127)</f>
        <v>1969-2026</v>
      </c>
      <c r="D19" s="6"/>
    </row>
    <row r="20" customFormat="false" ht="15" hidden="false" customHeight="false" outlineLevel="0" collapsed="false">
      <c r="A20" s="6"/>
      <c r="B20" s="6"/>
      <c r="C20" s="6"/>
      <c r="D20" s="6"/>
    </row>
    <row r="21" customFormat="false" ht="15" hidden="false" customHeight="false" outlineLevel="0" collapsed="false">
      <c r="A21" s="9" t="s">
        <v>1302</v>
      </c>
      <c r="B21" s="6"/>
      <c r="C21" s="9" t="s">
        <v>1295</v>
      </c>
      <c r="D21" s="6"/>
    </row>
    <row r="22" customFormat="false" ht="15" hidden="false" customHeight="false" outlineLevel="0" collapsed="false">
      <c r="A22" s="10" t="s">
        <v>1303</v>
      </c>
      <c r="B22" s="6"/>
      <c r="C22" s="10" t="n">
        <f aca="false">COUNTIF(Data!$V$2:$V$127,"yes")</f>
        <v>82</v>
      </c>
      <c r="D22" s="6"/>
    </row>
    <row r="23" customFormat="false" ht="15" hidden="false" customHeight="false" outlineLevel="0" collapsed="false">
      <c r="A23" s="10" t="s">
        <v>1304</v>
      </c>
      <c r="B23" s="6"/>
      <c r="C23" s="10" t="n">
        <f aca="false">COUNTIFS(Data!$V$2:$V$127,"yes",Data!$U$2:$U$127,"&lt;&gt;")</f>
        <v>80</v>
      </c>
      <c r="D23" s="6"/>
    </row>
    <row r="24" customFormat="false" ht="15" hidden="false" customHeight="false" outlineLevel="0" collapsed="false">
      <c r="A24" s="10" t="s">
        <v>1305</v>
      </c>
      <c r="B24" s="6"/>
      <c r="C24" s="10" t="n">
        <f aca="false">COUNTIF(Data!$U$2:$U$127,"&lt;&gt;")</f>
        <v>122</v>
      </c>
      <c r="D24" s="6"/>
    </row>
    <row r="25" customFormat="false" ht="15" hidden="false" customHeight="false" outlineLevel="0" collapsed="false">
      <c r="A25" s="6"/>
      <c r="B25" s="6"/>
      <c r="C25" s="6"/>
      <c r="D25" s="6"/>
    </row>
    <row r="26" customFormat="false" ht="15" hidden="false" customHeight="false" outlineLevel="0" collapsed="false">
      <c r="A26" s="6"/>
      <c r="B26" s="6"/>
      <c r="C26" s="6"/>
      <c r="D26" s="6"/>
    </row>
    <row r="27" customFormat="false" ht="15" hidden="false" customHeight="false" outlineLevel="0" collapsed="false">
      <c r="A27" s="6"/>
      <c r="B27" s="6"/>
      <c r="C27" s="6"/>
      <c r="D27" s="6"/>
    </row>
    <row r="28" customFormat="false" ht="15" hidden="false" customHeight="false" outlineLevel="0" collapsed="false">
      <c r="A28" s="6"/>
      <c r="B28" s="6"/>
      <c r="C28" s="6"/>
      <c r="D28" s="6"/>
    </row>
    <row r="29" customFormat="false" ht="15" hidden="false" customHeight="false" outlineLevel="0" collapsed="false">
      <c r="A29" s="6"/>
      <c r="B29" s="6"/>
      <c r="C29" s="6"/>
      <c r="D29" s="6"/>
    </row>
    <row r="30" customFormat="false" ht="15" hidden="false" customHeight="false" outlineLevel="0" collapsed="false">
      <c r="A30" s="8" t="s">
        <v>1306</v>
      </c>
      <c r="B30" s="6"/>
      <c r="C30" s="6"/>
      <c r="D30"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11"/>
    <col collapsed="false" customWidth="true" hidden="false" outlineLevel="0" max="4" min="4" style="0" width="13"/>
    <col collapsed="false" customWidth="true" hidden="false" outlineLevel="0" max="6" min="5" style="0" width="14"/>
    <col collapsed="false" customWidth="true" hidden="false" outlineLevel="0" max="7" min="7" style="0" width="11"/>
    <col collapsed="false" customWidth="true" hidden="false" outlineLevel="0" max="8" min="8" style="0" width="8"/>
  </cols>
  <sheetData>
    <row r="1" customFormat="false" ht="23.85" hidden="false" customHeight="false" outlineLevel="0" collapsed="false">
      <c r="A1" s="12" t="s">
        <v>1297</v>
      </c>
      <c r="B1" s="12" t="s">
        <v>1307</v>
      </c>
      <c r="C1" s="12" t="s">
        <v>1308</v>
      </c>
      <c r="D1" s="12" t="s">
        <v>1309</v>
      </c>
      <c r="E1" s="12" t="s">
        <v>1310</v>
      </c>
      <c r="F1" s="12" t="s">
        <v>1311</v>
      </c>
      <c r="G1" s="12" t="s">
        <v>1312</v>
      </c>
      <c r="H1" s="12" t="s">
        <v>1313</v>
      </c>
    </row>
    <row r="2" customFormat="false" ht="15" hidden="false" customHeight="false" outlineLevel="0" collapsed="false">
      <c r="A2" s="10" t="s">
        <v>44</v>
      </c>
      <c r="B2" s="10" t="s">
        <v>45</v>
      </c>
      <c r="C2" s="11" t="n">
        <v>9</v>
      </c>
      <c r="D2" s="11" t="n">
        <v>0</v>
      </c>
      <c r="E2" s="10" t="n">
        <f aca="false">COUNTIF(Data!$J$2:$J$127,B2)</f>
        <v>9</v>
      </c>
      <c r="F2" s="10" t="n">
        <f aca="false">SUMPRODUCT(--ISNUMBER(SEARCH(B2,Data!$K$2:$K$127)))</f>
        <v>0</v>
      </c>
      <c r="G2" s="10" t="n">
        <f aca="false">E2+F2</f>
        <v>9</v>
      </c>
      <c r="H2" s="10" t="str">
        <f aca="false">IF(AND(G2=C2,F2=D2),"yes","NO")</f>
        <v>yes</v>
      </c>
    </row>
    <row r="3" customFormat="false" ht="15" hidden="false" customHeight="false" outlineLevel="0" collapsed="false">
      <c r="A3" s="10" t="s">
        <v>44</v>
      </c>
      <c r="B3" s="10" t="s">
        <v>127</v>
      </c>
      <c r="C3" s="11" t="n">
        <v>6</v>
      </c>
      <c r="D3" s="11" t="n">
        <v>0</v>
      </c>
      <c r="E3" s="10" t="n">
        <f aca="false">COUNTIF(Data!$J$2:$J$127,B3)</f>
        <v>6</v>
      </c>
      <c r="F3" s="10" t="n">
        <f aca="false">SUMPRODUCT(--ISNUMBER(SEARCH(B3,Data!$K$2:$K$127)))</f>
        <v>0</v>
      </c>
      <c r="G3" s="10" t="n">
        <f aca="false">E3+F3</f>
        <v>6</v>
      </c>
      <c r="H3" s="10" t="str">
        <f aca="false">IF(AND(G3=C3,F3=D3),"yes","NO")</f>
        <v>yes</v>
      </c>
    </row>
    <row r="4" customFormat="false" ht="15" hidden="false" customHeight="false" outlineLevel="0" collapsed="false">
      <c r="A4" s="10" t="s">
        <v>44</v>
      </c>
      <c r="B4" s="10" t="s">
        <v>182</v>
      </c>
      <c r="C4" s="11" t="n">
        <v>6</v>
      </c>
      <c r="D4" s="11" t="n">
        <v>0</v>
      </c>
      <c r="E4" s="10" t="n">
        <f aca="false">COUNTIF(Data!$J$2:$J$127,B4)</f>
        <v>6</v>
      </c>
      <c r="F4" s="10" t="n">
        <f aca="false">SUMPRODUCT(--ISNUMBER(SEARCH(B4,Data!$K$2:$K$127)))</f>
        <v>0</v>
      </c>
      <c r="G4" s="10" t="n">
        <f aca="false">E4+F4</f>
        <v>6</v>
      </c>
      <c r="H4" s="10" t="str">
        <f aca="false">IF(AND(G4=C4,F4=D4),"yes","NO")</f>
        <v>yes</v>
      </c>
    </row>
    <row r="5" customFormat="false" ht="15" hidden="false" customHeight="false" outlineLevel="0" collapsed="false">
      <c r="A5" s="10" t="s">
        <v>44</v>
      </c>
      <c r="B5" s="10" t="s">
        <v>238</v>
      </c>
      <c r="C5" s="11" t="n">
        <v>8</v>
      </c>
      <c r="D5" s="11" t="n">
        <v>0</v>
      </c>
      <c r="E5" s="10" t="n">
        <f aca="false">COUNTIF(Data!$J$2:$J$127,B5)</f>
        <v>8</v>
      </c>
      <c r="F5" s="10" t="n">
        <f aca="false">SUMPRODUCT(--ISNUMBER(SEARCH(B5,Data!$K$2:$K$127)))</f>
        <v>0</v>
      </c>
      <c r="G5" s="10" t="n">
        <f aca="false">E5+F5</f>
        <v>8</v>
      </c>
      <c r="H5" s="10" t="str">
        <f aca="false">IF(AND(G5=C5,F5=D5),"yes","NO")</f>
        <v>yes</v>
      </c>
    </row>
    <row r="6" customFormat="false" ht="15" hidden="false" customHeight="false" outlineLevel="0" collapsed="false">
      <c r="A6" s="10" t="s">
        <v>44</v>
      </c>
      <c r="B6" s="10" t="s">
        <v>306</v>
      </c>
      <c r="C6" s="11" t="n">
        <v>6</v>
      </c>
      <c r="D6" s="11" t="n">
        <v>0</v>
      </c>
      <c r="E6" s="10" t="n">
        <f aca="false">COUNTIF(Data!$J$2:$J$127,B6)</f>
        <v>6</v>
      </c>
      <c r="F6" s="10" t="n">
        <f aca="false">SUMPRODUCT(--ISNUMBER(SEARCH(B6,Data!$K$2:$K$127)))</f>
        <v>0</v>
      </c>
      <c r="G6" s="10" t="n">
        <f aca="false">E6+F6</f>
        <v>6</v>
      </c>
      <c r="H6" s="10" t="str">
        <f aca="false">IF(AND(G6=C6,F6=D6),"yes","NO")</f>
        <v>yes</v>
      </c>
    </row>
    <row r="7" customFormat="false" ht="15" hidden="false" customHeight="false" outlineLevel="0" collapsed="false">
      <c r="A7" s="10" t="s">
        <v>44</v>
      </c>
      <c r="B7" s="10" t="s">
        <v>360</v>
      </c>
      <c r="C7" s="11" t="n">
        <v>8</v>
      </c>
      <c r="D7" s="11" t="n">
        <v>0</v>
      </c>
      <c r="E7" s="10" t="n">
        <f aca="false">COUNTIF(Data!$J$2:$J$127,B7)</f>
        <v>8</v>
      </c>
      <c r="F7" s="10" t="n">
        <f aca="false">SUMPRODUCT(--ISNUMBER(SEARCH(B7,Data!$K$2:$K$127)))</f>
        <v>0</v>
      </c>
      <c r="G7" s="10" t="n">
        <f aca="false">E7+F7</f>
        <v>8</v>
      </c>
      <c r="H7" s="10" t="str">
        <f aca="false">IF(AND(G7=C7,F7=D7),"yes","NO")</f>
        <v>yes</v>
      </c>
    </row>
    <row r="8" customFormat="false" ht="15" hidden="false" customHeight="false" outlineLevel="0" collapsed="false">
      <c r="A8" s="10" t="s">
        <v>44</v>
      </c>
      <c r="B8" s="10" t="s">
        <v>429</v>
      </c>
      <c r="C8" s="11" t="n">
        <v>8</v>
      </c>
      <c r="D8" s="11" t="n">
        <v>0</v>
      </c>
      <c r="E8" s="10" t="n">
        <f aca="false">COUNTIF(Data!$J$2:$J$127,B8)</f>
        <v>8</v>
      </c>
      <c r="F8" s="10" t="n">
        <f aca="false">SUMPRODUCT(--ISNUMBER(SEARCH(B8,Data!$K$2:$K$127)))</f>
        <v>0</v>
      </c>
      <c r="G8" s="10" t="n">
        <f aca="false">E8+F8</f>
        <v>8</v>
      </c>
      <c r="H8" s="10" t="str">
        <f aca="false">IF(AND(G8=C8,F8=D8),"yes","NO")</f>
        <v>yes</v>
      </c>
    </row>
    <row r="9" customFormat="false" ht="15" hidden="false" customHeight="false" outlineLevel="0" collapsed="false">
      <c r="A9" s="10" t="s">
        <v>44</v>
      </c>
      <c r="B9" s="10" t="s">
        <v>493</v>
      </c>
      <c r="C9" s="11" t="n">
        <v>8</v>
      </c>
      <c r="D9" s="11" t="n">
        <v>0</v>
      </c>
      <c r="E9" s="10" t="n">
        <f aca="false">COUNTIF(Data!$J$2:$J$127,B9)</f>
        <v>8</v>
      </c>
      <c r="F9" s="10" t="n">
        <f aca="false">SUMPRODUCT(--ISNUMBER(SEARCH(B9,Data!$K$2:$K$127)))</f>
        <v>0</v>
      </c>
      <c r="G9" s="10" t="n">
        <f aca="false">E9+F9</f>
        <v>8</v>
      </c>
      <c r="H9" s="10" t="str">
        <f aca="false">IF(AND(G9=C9,F9=D9),"yes","NO")</f>
        <v>yes</v>
      </c>
    </row>
    <row r="10" customFormat="false" ht="15" hidden="false" customHeight="false" outlineLevel="0" collapsed="false">
      <c r="A10" s="10" t="s">
        <v>558</v>
      </c>
      <c r="B10" s="10" t="s">
        <v>559</v>
      </c>
      <c r="C10" s="11" t="n">
        <v>8</v>
      </c>
      <c r="D10" s="11" t="n">
        <v>0</v>
      </c>
      <c r="E10" s="10" t="n">
        <f aca="false">COUNTIF(Data!$J$2:$J$127,B10)</f>
        <v>8</v>
      </c>
      <c r="F10" s="10" t="n">
        <f aca="false">SUMPRODUCT(--ISNUMBER(SEARCH(B10,Data!$K$2:$K$127)))</f>
        <v>0</v>
      </c>
      <c r="G10" s="10" t="n">
        <f aca="false">E10+F10</f>
        <v>8</v>
      </c>
      <c r="H10" s="10" t="str">
        <f aca="false">IF(AND(G10=C10,F10=D10),"yes","NO")</f>
        <v>yes</v>
      </c>
    </row>
    <row r="11" customFormat="false" ht="15" hidden="false" customHeight="false" outlineLevel="0" collapsed="false">
      <c r="A11" s="10" t="s">
        <v>558</v>
      </c>
      <c r="B11" s="10" t="s">
        <v>632</v>
      </c>
      <c r="C11" s="11" t="n">
        <v>7</v>
      </c>
      <c r="D11" s="11" t="n">
        <v>0</v>
      </c>
      <c r="E11" s="10" t="n">
        <f aca="false">COUNTIF(Data!$J$2:$J$127,B11)</f>
        <v>7</v>
      </c>
      <c r="F11" s="10" t="n">
        <f aca="false">SUMPRODUCT(--ISNUMBER(SEARCH(B11,Data!$K$2:$K$127)))</f>
        <v>0</v>
      </c>
      <c r="G11" s="10" t="n">
        <f aca="false">E11+F11</f>
        <v>7</v>
      </c>
      <c r="H11" s="10" t="str">
        <f aca="false">IF(AND(G11=C11,F11=D11),"yes","NO")</f>
        <v>yes</v>
      </c>
    </row>
    <row r="12" customFormat="false" ht="15" hidden="false" customHeight="false" outlineLevel="0" collapsed="false">
      <c r="A12" s="10" t="s">
        <v>558</v>
      </c>
      <c r="B12" s="10" t="s">
        <v>693</v>
      </c>
      <c r="C12" s="11" t="n">
        <v>9</v>
      </c>
      <c r="D12" s="11" t="n">
        <v>0</v>
      </c>
      <c r="E12" s="10" t="n">
        <f aca="false">COUNTIF(Data!$J$2:$J$127,B12)</f>
        <v>9</v>
      </c>
      <c r="F12" s="10" t="n">
        <f aca="false">SUMPRODUCT(--ISNUMBER(SEARCH(B12,Data!$K$2:$K$127)))</f>
        <v>0</v>
      </c>
      <c r="G12" s="10" t="n">
        <f aca="false">E12+F12</f>
        <v>9</v>
      </c>
      <c r="H12" s="10" t="str">
        <f aca="false">IF(AND(G12=C12,F12=D12),"yes","NO")</f>
        <v>yes</v>
      </c>
    </row>
    <row r="13" customFormat="false" ht="15" hidden="false" customHeight="false" outlineLevel="0" collapsed="false">
      <c r="A13" s="10" t="s">
        <v>558</v>
      </c>
      <c r="B13" s="10" t="s">
        <v>770</v>
      </c>
      <c r="C13" s="11" t="n">
        <v>8</v>
      </c>
      <c r="D13" s="11" t="n">
        <v>0</v>
      </c>
      <c r="E13" s="10" t="n">
        <f aca="false">COUNTIF(Data!$J$2:$J$127,B13)</f>
        <v>8</v>
      </c>
      <c r="F13" s="10" t="n">
        <f aca="false">SUMPRODUCT(--ISNUMBER(SEARCH(B13,Data!$K$2:$K$127)))</f>
        <v>0</v>
      </c>
      <c r="G13" s="10" t="n">
        <f aca="false">E13+F13</f>
        <v>8</v>
      </c>
      <c r="H13" s="10" t="str">
        <f aca="false">IF(AND(G13=C13,F13=D13),"yes","NO")</f>
        <v>yes</v>
      </c>
    </row>
    <row r="14" customFormat="false" ht="15" hidden="false" customHeight="false" outlineLevel="0" collapsed="false">
      <c r="A14" s="10" t="s">
        <v>558</v>
      </c>
      <c r="B14" s="10" t="s">
        <v>836</v>
      </c>
      <c r="C14" s="11" t="n">
        <v>8</v>
      </c>
      <c r="D14" s="11" t="n">
        <v>0</v>
      </c>
      <c r="E14" s="10" t="n">
        <f aca="false">COUNTIF(Data!$J$2:$J$127,B14)</f>
        <v>8</v>
      </c>
      <c r="F14" s="10" t="n">
        <f aca="false">SUMPRODUCT(--ISNUMBER(SEARCH(B14,Data!$K$2:$K$127)))</f>
        <v>0</v>
      </c>
      <c r="G14" s="10" t="n">
        <f aca="false">E14+F14</f>
        <v>8</v>
      </c>
      <c r="H14" s="10" t="str">
        <f aca="false">IF(AND(G14=C14,F14=D14),"yes","NO")</f>
        <v>yes</v>
      </c>
    </row>
    <row r="15" customFormat="false" ht="15" hidden="false" customHeight="false" outlineLevel="0" collapsed="false">
      <c r="A15" s="10" t="s">
        <v>908</v>
      </c>
      <c r="B15" s="10" t="s">
        <v>909</v>
      </c>
      <c r="C15" s="11" t="n">
        <v>6</v>
      </c>
      <c r="D15" s="11" t="n">
        <v>0</v>
      </c>
      <c r="E15" s="10" t="n">
        <f aca="false">COUNTIF(Data!$J$2:$J$127,B15)</f>
        <v>6</v>
      </c>
      <c r="F15" s="10" t="n">
        <f aca="false">SUMPRODUCT(--ISNUMBER(SEARCH(B15,Data!$K$2:$K$127)))</f>
        <v>0</v>
      </c>
      <c r="G15" s="10" t="n">
        <f aca="false">E15+F15</f>
        <v>6</v>
      </c>
      <c r="H15" s="10" t="str">
        <f aca="false">IF(AND(G15=C15,F15=D15),"yes","NO")</f>
        <v>yes</v>
      </c>
    </row>
    <row r="16" customFormat="false" ht="15" hidden="false" customHeight="false" outlineLevel="0" collapsed="false">
      <c r="A16" s="10" t="s">
        <v>908</v>
      </c>
      <c r="B16" s="10" t="s">
        <v>920</v>
      </c>
      <c r="C16" s="11" t="n">
        <v>4</v>
      </c>
      <c r="D16" s="11" t="n">
        <v>2</v>
      </c>
      <c r="E16" s="10" t="n">
        <f aca="false">COUNTIF(Data!$J$2:$J$127,B16)</f>
        <v>2</v>
      </c>
      <c r="F16" s="10" t="n">
        <f aca="false">SUMPRODUCT(--ISNUMBER(SEARCH(B16,Data!$K$2:$K$127)))</f>
        <v>2</v>
      </c>
      <c r="G16" s="10" t="n">
        <f aca="false">E16+F16</f>
        <v>4</v>
      </c>
      <c r="H16" s="10" t="str">
        <f aca="false">IF(AND(G16=C16,F16=D16),"yes","NO")</f>
        <v>yes</v>
      </c>
    </row>
    <row r="17" customFormat="false" ht="15" hidden="false" customHeight="false" outlineLevel="0" collapsed="false">
      <c r="A17" s="10" t="s">
        <v>908</v>
      </c>
      <c r="B17" s="10" t="s">
        <v>837</v>
      </c>
      <c r="C17" s="11" t="n">
        <v>6</v>
      </c>
      <c r="D17" s="11" t="n">
        <v>1</v>
      </c>
      <c r="E17" s="10" t="n">
        <f aca="false">COUNTIF(Data!$J$2:$J$127,B17)</f>
        <v>5</v>
      </c>
      <c r="F17" s="10" t="n">
        <f aca="false">SUMPRODUCT(--ISNUMBER(SEARCH(B17,Data!$K$2:$K$127)))</f>
        <v>1</v>
      </c>
      <c r="G17" s="10" t="n">
        <f aca="false">E17+F17</f>
        <v>6</v>
      </c>
      <c r="H17" s="10" t="str">
        <f aca="false">IF(AND(G17=C17,F17=D17),"yes","NO")</f>
        <v>yes</v>
      </c>
    </row>
    <row r="18" customFormat="false" ht="15" hidden="false" customHeight="false" outlineLevel="0" collapsed="false">
      <c r="A18" s="10" t="s">
        <v>908</v>
      </c>
      <c r="B18" s="10" t="s">
        <v>519</v>
      </c>
      <c r="C18" s="11" t="n">
        <v>19</v>
      </c>
      <c r="D18" s="11" t="n">
        <v>5</v>
      </c>
      <c r="E18" s="10" t="n">
        <f aca="false">COUNTIF(Data!$J$2:$J$127,B18)</f>
        <v>14</v>
      </c>
      <c r="F18" s="10" t="n">
        <f aca="false">SUMPRODUCT(--ISNUMBER(SEARCH(B18,Data!$K$2:$K$127)))</f>
        <v>5</v>
      </c>
      <c r="G18" s="10" t="n">
        <f aca="false">E18+F18</f>
        <v>19</v>
      </c>
      <c r="H18" s="10" t="str">
        <f aca="false">IF(AND(G18=C18,F18=D18),"yes","NO")</f>
        <v>yes</v>
      </c>
    </row>
    <row r="19" customFormat="false" ht="15" hidden="false" customHeight="false" outlineLevel="0" collapsed="false">
      <c r="A19" s="6"/>
      <c r="B19" s="7" t="s">
        <v>1314</v>
      </c>
      <c r="C19" s="11" t="n">
        <v>126</v>
      </c>
      <c r="D19" s="6"/>
      <c r="E19" s="7" t="n">
        <f aca="false">SUM(E2:E18)</f>
        <v>126</v>
      </c>
      <c r="F19" s="6"/>
      <c r="G19" s="6"/>
      <c r="H19" s="7" t="str">
        <f aca="false">IF(E19=C19,"yes","NO")</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90"/>
    <col collapsed="false" customWidth="true" hidden="false" outlineLevel="0" max="4" min="4" style="0" width="12"/>
  </cols>
  <sheetData>
    <row r="1" customFormat="false" ht="35.05" hidden="false" customHeight="false" outlineLevel="0" collapsed="false">
      <c r="A1" s="4" t="s">
        <v>1315</v>
      </c>
      <c r="B1" s="4" t="s">
        <v>1316</v>
      </c>
      <c r="C1" s="4" t="s">
        <v>1317</v>
      </c>
      <c r="D1" s="4" t="s">
        <v>1318</v>
      </c>
    </row>
    <row r="2" customFormat="false" ht="22.35" hidden="false" customHeight="false" outlineLevel="0" collapsed="false">
      <c r="A2" s="5" t="s">
        <v>1319</v>
      </c>
      <c r="B2" s="5" t="s">
        <v>1320</v>
      </c>
      <c r="C2" s="5" t="s">
        <v>1321</v>
      </c>
      <c r="D2" s="5" t="n">
        <v>1667</v>
      </c>
    </row>
    <row r="3" customFormat="false" ht="22.35" hidden="false" customHeight="false" outlineLevel="0" collapsed="false">
      <c r="A3" s="5" t="s">
        <v>1322</v>
      </c>
      <c r="B3" s="5" t="s">
        <v>1323</v>
      </c>
      <c r="C3" s="5" t="s">
        <v>1324</v>
      </c>
      <c r="D3" s="5" t="n">
        <v>762</v>
      </c>
    </row>
    <row r="4" customFormat="false" ht="22.35" hidden="false" customHeight="false" outlineLevel="0" collapsed="false">
      <c r="A4" s="5" t="s">
        <v>1325</v>
      </c>
      <c r="B4" s="5" t="s">
        <v>1326</v>
      </c>
      <c r="C4" s="5" t="s">
        <v>1327</v>
      </c>
      <c r="D4" s="5" t="n">
        <v>172</v>
      </c>
    </row>
    <row r="5" customFormat="false" ht="22.35" hidden="false" customHeight="false" outlineLevel="0" collapsed="false">
      <c r="A5" s="5" t="s">
        <v>1328</v>
      </c>
      <c r="B5" s="5" t="s">
        <v>1329</v>
      </c>
      <c r="C5" s="5" t="s">
        <v>1330</v>
      </c>
      <c r="D5" s="5" t="n">
        <v>382</v>
      </c>
    </row>
    <row r="6" customFormat="false" ht="22.35" hidden="false" customHeight="false" outlineLevel="0" collapsed="false">
      <c r="A6" s="5" t="s">
        <v>1331</v>
      </c>
      <c r="B6" s="5" t="s">
        <v>1332</v>
      </c>
      <c r="C6" s="5" t="s">
        <v>1333</v>
      </c>
      <c r="D6" s="5" t="n">
        <v>1066</v>
      </c>
    </row>
    <row r="7" customFormat="false" ht="22.35" hidden="false" customHeight="false" outlineLevel="0" collapsed="false">
      <c r="A7" s="5" t="s">
        <v>1334</v>
      </c>
      <c r="B7" s="5" t="s">
        <v>1335</v>
      </c>
      <c r="C7" s="5" t="s">
        <v>1336</v>
      </c>
      <c r="D7" s="5" t="n">
        <v>530</v>
      </c>
    </row>
    <row r="8" customFormat="false" ht="15" hidden="false" customHeight="false" outlineLevel="0" collapsed="false">
      <c r="A8" s="6"/>
      <c r="B8" s="6"/>
      <c r="C8" s="7" t="s">
        <v>1290</v>
      </c>
      <c r="D8" s="7" t="n">
        <f aca="false">SUM(D2:D7)</f>
        <v>4579</v>
      </c>
    </row>
    <row r="9" customFormat="false" ht="15" hidden="false" customHeight="false" outlineLevel="0" collapsed="false">
      <c r="A9" s="6"/>
      <c r="B9" s="6"/>
      <c r="C9" s="6"/>
      <c r="D9" s="6"/>
    </row>
    <row r="10" customFormat="false" ht="15" hidden="false" customHeight="false" outlineLevel="0" collapsed="false">
      <c r="A10" s="8" t="s">
        <v>1337</v>
      </c>
      <c r="B10" s="6"/>
      <c r="C10" s="6"/>
      <c r="D10" s="6"/>
    </row>
  </sheetData>
  <autoFilter ref="A1:D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3" t="s">
        <v>1338</v>
      </c>
    </row>
    <row r="2" customFormat="false" ht="15" hidden="false" customHeight="false" outlineLevel="0" collapsed="false">
      <c r="A2" s="2"/>
    </row>
    <row r="3" customFormat="false" ht="15" hidden="false" customHeight="false" outlineLevel="0" collapsed="false">
      <c r="A3" s="2" t="s">
        <v>1339</v>
      </c>
    </row>
    <row r="4" customFormat="false" ht="15" hidden="false" customHeight="false" outlineLevel="0" collapsed="false">
      <c r="A4" s="2" t="s">
        <v>1340</v>
      </c>
    </row>
    <row r="5" customFormat="false" ht="15" hidden="false" customHeight="false" outlineLevel="0" collapsed="false">
      <c r="A5" s="2" t="s">
        <v>1341</v>
      </c>
    </row>
    <row r="6" customFormat="false" ht="15" hidden="false" customHeight="false" outlineLevel="0" collapsed="false">
      <c r="A6" s="2" t="s">
        <v>1342</v>
      </c>
    </row>
    <row r="7" customFormat="false" ht="15" hidden="false" customHeight="false" outlineLevel="0" collapsed="false">
      <c r="A7" s="2"/>
    </row>
    <row r="8" customFormat="false" ht="15" hidden="false" customHeight="false" outlineLevel="0" collapsed="false">
      <c r="A8" s="2" t="s">
        <v>1343</v>
      </c>
    </row>
    <row r="9" customFormat="false" ht="15" hidden="false" customHeight="false" outlineLevel="0" collapsed="false">
      <c r="A9" s="2" t="s">
        <v>1344</v>
      </c>
    </row>
    <row r="10" customFormat="false" ht="15" hidden="false" customHeight="false" outlineLevel="0" collapsed="false">
      <c r="A10" s="2" t="s">
        <v>1345</v>
      </c>
    </row>
    <row r="11" customFormat="false" ht="15" hidden="false" customHeight="false" outlineLevel="0" collapsed="false">
      <c r="A11" s="2" t="s">
        <v>1346</v>
      </c>
    </row>
    <row r="12" customFormat="false" ht="15" hidden="false" customHeight="false" outlineLevel="0" collapsed="false">
      <c r="A12" s="2" t="s">
        <v>1347</v>
      </c>
    </row>
    <row r="13" customFormat="false" ht="15" hidden="false" customHeight="false" outlineLevel="0" collapsed="false">
      <c r="A13" s="2" t="s">
        <v>1348</v>
      </c>
    </row>
    <row r="14" customFormat="false" ht="15" hidden="false" customHeight="false" outlineLevel="0" collapsed="false">
      <c r="A14" s="2"/>
    </row>
    <row r="15" customFormat="false" ht="15" hidden="false" customHeight="false" outlineLevel="0" collapsed="false">
      <c r="A15" s="3" t="s">
        <v>1349</v>
      </c>
    </row>
    <row r="16" customFormat="false" ht="15" hidden="false" customHeight="false" outlineLevel="0" collapsed="false">
      <c r="A16" s="2" t="s">
        <v>1350</v>
      </c>
    </row>
    <row r="17" customFormat="false" ht="15" hidden="false" customHeight="false" outlineLevel="0" collapsed="false">
      <c r="A17" s="2" t="s">
        <v>1351</v>
      </c>
    </row>
    <row r="18" customFormat="false" ht="15" hidden="false" customHeight="false" outlineLevel="0" collapsed="false">
      <c r="A18" s="2" t="s">
        <v>1352</v>
      </c>
    </row>
    <row r="19" customFormat="false" ht="15" hidden="false" customHeight="false" outlineLevel="0" collapsed="false">
      <c r="A19" s="2" t="s">
        <v>1353</v>
      </c>
    </row>
    <row r="20" customFormat="false" ht="15" hidden="false" customHeight="false" outlineLevel="0" collapsed="false">
      <c r="A20" s="2" t="s">
        <v>1354</v>
      </c>
    </row>
    <row r="21" customFormat="false" ht="15" hidden="false" customHeight="false" outlineLevel="0" collapsed="false">
      <c r="A21" s="2" t="s">
        <v>1355</v>
      </c>
    </row>
    <row r="22" customFormat="false" ht="15" hidden="false" customHeight="false" outlineLevel="0" collapsed="false">
      <c r="A22" s="2"/>
    </row>
    <row r="23" customFormat="false" ht="15" hidden="false" customHeight="false" outlineLevel="0" collapsed="false">
      <c r="A23" s="3" t="s">
        <v>1356</v>
      </c>
    </row>
    <row r="24" customFormat="false" ht="15" hidden="false" customHeight="false" outlineLevel="0" collapsed="false">
      <c r="A24" s="2" t="s">
        <v>1357</v>
      </c>
    </row>
    <row r="25" customFormat="false" ht="15" hidden="false" customHeight="false" outlineLevel="0" collapsed="false">
      <c r="A25" s="2" t="s">
        <v>1358</v>
      </c>
    </row>
    <row r="26" customFormat="false" ht="15" hidden="false" customHeight="false" outlineLevel="0" collapsed="false">
      <c r="A26" s="2" t="s">
        <v>1359</v>
      </c>
    </row>
    <row r="27" customFormat="false" ht="15" hidden="false" customHeight="false" outlineLevel="0" collapsed="false">
      <c r="A27" s="2" t="s">
        <v>1360</v>
      </c>
    </row>
    <row r="28" customFormat="false" ht="15" hidden="false" customHeight="false" outlineLevel="0" collapsed="false">
      <c r="A28" s="2" t="s">
        <v>1361</v>
      </c>
    </row>
    <row r="29" customFormat="false" ht="15" hidden="false" customHeight="false" outlineLevel="0" collapsed="false">
      <c r="A29" s="2" t="s">
        <v>1362</v>
      </c>
    </row>
    <row r="30" customFormat="false" ht="15" hidden="false" customHeight="false" outlineLevel="0" collapsed="false">
      <c r="A30" s="2" t="s">
        <v>1363</v>
      </c>
    </row>
    <row r="31" customFormat="false" ht="15" hidden="false" customHeight="false" outlineLevel="0" collapsed="false">
      <c r="A31" s="2" t="s">
        <v>1364</v>
      </c>
    </row>
    <row r="32" customFormat="false" ht="15" hidden="false" customHeight="false" outlineLevel="0" collapsed="false">
      <c r="A32" s="2" t="s">
        <v>1365</v>
      </c>
    </row>
    <row r="33" customFormat="false" ht="15" hidden="false" customHeight="false" outlineLevel="0" collapsed="false">
      <c r="A33" s="2" t="s">
        <v>1366</v>
      </c>
    </row>
    <row r="34" customFormat="false" ht="15" hidden="false" customHeight="false" outlineLevel="0" collapsed="false">
      <c r="A34" s="2" t="s">
        <v>1367</v>
      </c>
    </row>
    <row r="35" customFormat="false" ht="15" hidden="false" customHeight="false" outlineLevel="0" collapsed="false">
      <c r="A35" s="2" t="s">
        <v>1368</v>
      </c>
    </row>
    <row r="36" customFormat="false" ht="15" hidden="false" customHeight="false" outlineLevel="0" collapsed="false">
      <c r="A36" s="2" t="s">
        <v>1369</v>
      </c>
    </row>
    <row r="37" customFormat="false" ht="15" hidden="false" customHeight="false" outlineLevel="0" collapsed="false">
      <c r="A37" s="2" t="s">
        <v>1370</v>
      </c>
    </row>
    <row r="38" customFormat="false" ht="15" hidden="false" customHeight="false" outlineLevel="0" collapsed="false">
      <c r="A38" s="2" t="s">
        <v>1371</v>
      </c>
    </row>
    <row r="39" customFormat="false" ht="15" hidden="false" customHeight="false" outlineLevel="0" collapsed="false">
      <c r="A39" s="2" t="s">
        <v>1372</v>
      </c>
    </row>
    <row r="40" customFormat="false" ht="15" hidden="false" customHeight="false" outlineLevel="0" collapsed="false">
      <c r="A40" s="2" t="s">
        <v>1373</v>
      </c>
    </row>
    <row r="41" customFormat="false" ht="15" hidden="false" customHeight="false" outlineLevel="0" collapsed="false">
      <c r="A41" s="2"/>
    </row>
    <row r="42" customFormat="false" ht="15" hidden="false" customHeight="false" outlineLevel="0" collapsed="false">
      <c r="A42" s="3" t="s">
        <v>1374</v>
      </c>
    </row>
    <row r="43" customFormat="false" ht="15" hidden="false" customHeight="false" outlineLevel="0" collapsed="false">
      <c r="A43" s="2" t="s">
        <v>1375</v>
      </c>
    </row>
    <row r="44" customFormat="false" ht="15" hidden="false" customHeight="false" outlineLevel="0" collapsed="false">
      <c r="A44" s="2" t="s">
        <v>1376</v>
      </c>
    </row>
    <row r="45" customFormat="false" ht="15" hidden="false" customHeight="false" outlineLevel="0" collapsed="false">
      <c r="A45" s="2" t="s">
        <v>1377</v>
      </c>
    </row>
    <row r="46" customFormat="false" ht="15" hidden="false" customHeight="false" outlineLevel="0" collapsed="false">
      <c r="A46" s="2" t="s">
        <v>1378</v>
      </c>
    </row>
    <row r="47" customFormat="false" ht="15" hidden="false" customHeight="false" outlineLevel="0" collapsed="false">
      <c r="A47" s="2" t="s">
        <v>1379</v>
      </c>
    </row>
    <row r="48" customFormat="false" ht="15" hidden="false" customHeight="false" outlineLevel="0" collapsed="false">
      <c r="A48" s="2" t="s">
        <v>1380</v>
      </c>
    </row>
    <row r="49" customFormat="false" ht="15" hidden="false" customHeight="false" outlineLevel="0" collapsed="false">
      <c r="A49" s="2" t="s">
        <v>1381</v>
      </c>
    </row>
    <row r="50" customFormat="false" ht="15" hidden="false" customHeight="false" outlineLevel="0" collapsed="false">
      <c r="A50" s="2" t="s">
        <v>1382</v>
      </c>
    </row>
    <row r="51" customFormat="false" ht="15" hidden="false" customHeight="false" outlineLevel="0" collapsed="false">
      <c r="A51" s="2" t="s">
        <v>1383</v>
      </c>
    </row>
    <row r="52" customFormat="false" ht="15" hidden="false" customHeight="false" outlineLevel="0" collapsed="false">
      <c r="A52" s="2"/>
    </row>
    <row r="53" customFormat="false" ht="15" hidden="false" customHeight="false" outlineLevel="0" collapsed="false">
      <c r="A53" s="3" t="s">
        <v>1384</v>
      </c>
    </row>
    <row r="54" customFormat="false" ht="15" hidden="false" customHeight="false" outlineLevel="0" collapsed="false">
      <c r="A54" s="2" t="s">
        <v>1385</v>
      </c>
    </row>
    <row r="55" customFormat="false" ht="15" hidden="false" customHeight="false" outlineLevel="0" collapsed="false">
      <c r="A55" s="2" t="s">
        <v>1386</v>
      </c>
    </row>
    <row r="56" customFormat="false" ht="15" hidden="false" customHeight="false" outlineLevel="0" collapsed="false">
      <c r="A56" s="2" t="s">
        <v>1387</v>
      </c>
    </row>
    <row r="57" customFormat="false" ht="15" hidden="false" customHeight="false" outlineLevel="0" collapsed="false">
      <c r="A57" s="2" t="s">
        <v>1388</v>
      </c>
    </row>
    <row r="58" customFormat="false" ht="15" hidden="false" customHeight="false" outlineLevel="0" collapsed="false">
      <c r="A58" s="2" t="s">
        <v>1389</v>
      </c>
    </row>
    <row r="59" customFormat="false" ht="15" hidden="false" customHeight="false" outlineLevel="0" collapsed="false">
      <c r="A59" s="2" t="s">
        <v>1390</v>
      </c>
    </row>
    <row r="60" customFormat="false" ht="15" hidden="false" customHeight="false" outlineLevel="0" collapsed="false">
      <c r="A60" s="2" t="s">
        <v>1391</v>
      </c>
    </row>
    <row r="61" customFormat="false" ht="15" hidden="false" customHeight="false" outlineLevel="0" collapsed="false">
      <c r="A61" s="2" t="s">
        <v>1392</v>
      </c>
    </row>
    <row r="62" customFormat="false" ht="15" hidden="false" customHeight="false" outlineLevel="0" collapsed="false">
      <c r="A62" s="2" t="s">
        <v>1393</v>
      </c>
    </row>
    <row r="63" customFormat="false" ht="15" hidden="false" customHeight="false" outlineLevel="0" collapsed="false">
      <c r="A63" s="2" t="s">
        <v>1394</v>
      </c>
    </row>
    <row r="64" customFormat="false" ht="15" hidden="false" customHeight="false" outlineLevel="0" collapsed="false">
      <c r="A64" s="2" t="s">
        <v>1395</v>
      </c>
    </row>
    <row r="65" customFormat="false" ht="15" hidden="false" customHeight="false" outlineLevel="0" collapsed="false">
      <c r="A65" s="2" t="s">
        <v>1396</v>
      </c>
    </row>
    <row r="66" customFormat="false" ht="15" hidden="false" customHeight="false" outlineLevel="0" collapsed="false">
      <c r="A66" s="2"/>
    </row>
    <row r="67" customFormat="false" ht="15" hidden="false" customHeight="false" outlineLevel="0" collapsed="false">
      <c r="A67" s="3" t="s">
        <v>1397</v>
      </c>
    </row>
    <row r="68" customFormat="false" ht="15" hidden="false" customHeight="false" outlineLevel="0" collapsed="false">
      <c r="A68" s="2" t="s">
        <v>1398</v>
      </c>
    </row>
    <row r="69" customFormat="false" ht="15" hidden="false" customHeight="false" outlineLevel="0" collapsed="false">
      <c r="A69" s="2" t="s">
        <v>1399</v>
      </c>
    </row>
    <row r="70" customFormat="false" ht="15" hidden="false" customHeight="false" outlineLevel="0" collapsed="false">
      <c r="A70" s="2" t="s">
        <v>1400</v>
      </c>
    </row>
    <row r="71" customFormat="false" ht="15" hidden="false" customHeight="false" outlineLevel="0" collapsed="false">
      <c r="A71" s="2" t="s">
        <v>1401</v>
      </c>
    </row>
    <row r="72" customFormat="false" ht="15" hidden="false" customHeight="false" outlineLevel="0" collapsed="false">
      <c r="A72" s="2" t="s">
        <v>1402</v>
      </c>
    </row>
    <row r="73" customFormat="false" ht="15" hidden="false" customHeight="false" outlineLevel="0" collapsed="false">
      <c r="A73" s="2" t="s">
        <v>1403</v>
      </c>
    </row>
    <row r="74" customFormat="false" ht="15" hidden="false" customHeight="false" outlineLevel="0" collapsed="false">
      <c r="A74" s="2" t="s">
        <v>1404</v>
      </c>
    </row>
    <row r="75" customFormat="false" ht="15" hidden="false" customHeight="false" outlineLevel="0" collapsed="false">
      <c r="A75" s="2" t="s">
        <v>1405</v>
      </c>
    </row>
    <row r="76" customFormat="false" ht="15" hidden="false" customHeight="false" outlineLevel="0" collapsed="false">
      <c r="A76" s="2"/>
    </row>
    <row r="77" customFormat="false" ht="15" hidden="false" customHeight="false" outlineLevel="0" collapsed="false">
      <c r="A77" s="3" t="s">
        <v>1406</v>
      </c>
    </row>
    <row r="78" customFormat="false" ht="15" hidden="false" customHeight="false" outlineLevel="0" collapsed="false">
      <c r="A78" s="2" t="s">
        <v>1407</v>
      </c>
    </row>
    <row r="79" customFormat="false" ht="15" hidden="false" customHeight="false" outlineLevel="0" collapsed="false">
      <c r="A79" s="2" t="s">
        <v>1408</v>
      </c>
    </row>
    <row r="80" customFormat="false" ht="15" hidden="false" customHeight="false" outlineLevel="0" collapsed="false">
      <c r="A80" s="2" t="s">
        <v>1409</v>
      </c>
    </row>
    <row r="81" customFormat="false" ht="15" hidden="false" customHeight="false" outlineLevel="0" collapsed="false">
      <c r="A81" s="2" t="s">
        <v>1410</v>
      </c>
    </row>
    <row r="82" customFormat="false" ht="15" hidden="false" customHeight="false" outlineLevel="0" collapsed="false">
      <c r="A82" s="2" t="s">
        <v>1411</v>
      </c>
    </row>
    <row r="83" customFormat="false" ht="15" hidden="false" customHeight="false" outlineLevel="0" collapsed="false">
      <c r="A83" s="2" t="s">
        <v>1412</v>
      </c>
    </row>
    <row r="84" customFormat="false" ht="15" hidden="false" customHeight="false" outlineLevel="0" collapsed="false">
      <c r="A84" s="2" t="s">
        <v>1413</v>
      </c>
    </row>
    <row r="85" customFormat="false" ht="15" hidden="false" customHeight="false" outlineLevel="0" collapsed="false">
      <c r="A85" s="2"/>
    </row>
    <row r="86" customFormat="false" ht="15" hidden="false" customHeight="false" outlineLevel="0" collapsed="false">
      <c r="A86" s="3" t="s">
        <v>1414</v>
      </c>
    </row>
    <row r="87" customFormat="false" ht="15" hidden="false" customHeight="false" outlineLevel="0" collapsed="false">
      <c r="A87" s="2" t="s">
        <v>1415</v>
      </c>
    </row>
    <row r="88" customFormat="false" ht="15" hidden="false" customHeight="false" outlineLevel="0" collapsed="false">
      <c r="A88" s="2" t="s">
        <v>1416</v>
      </c>
    </row>
    <row r="89" customFormat="false" ht="15" hidden="false" customHeight="false" outlineLevel="0" collapsed="false">
      <c r="A89" s="2"/>
    </row>
    <row r="90" customFormat="false" ht="15" hidden="false" customHeight="false" outlineLevel="0" collapsed="false">
      <c r="A90" s="3" t="s">
        <v>1417</v>
      </c>
    </row>
    <row r="91" customFormat="false" ht="15" hidden="false" customHeight="false" outlineLevel="0" collapsed="false">
      <c r="A91" s="2" t="s">
        <v>1418</v>
      </c>
    </row>
    <row r="92" customFormat="false" ht="15" hidden="false" customHeight="false" outlineLevel="0" collapsed="false">
      <c r="A92" s="2" t="s">
        <v>1419</v>
      </c>
    </row>
    <row r="93" customFormat="false" ht="15" hidden="false" customHeight="false" outlineLevel="0" collapsed="false">
      <c r="A93" s="2" t="s">
        <v>1420</v>
      </c>
    </row>
    <row r="94" customFormat="false" ht="15" hidden="false" customHeight="false" outlineLevel="0" collapsed="false">
      <c r="A94" s="2" t="s">
        <v>1421</v>
      </c>
    </row>
    <row r="95" customFormat="false" ht="15" hidden="false" customHeight="false" outlineLevel="0" collapsed="false">
      <c r="A95" s="2" t="s">
        <v>1422</v>
      </c>
    </row>
    <row r="96" customFormat="false" ht="15" hidden="false" customHeight="false" outlineLevel="0" collapsed="false">
      <c r="A96" s="2" t="s">
        <v>1423</v>
      </c>
    </row>
    <row r="97" customFormat="false" ht="15" hidden="false" customHeight="false" outlineLevel="0" collapsed="false">
      <c r="A97" s="2" t="s">
        <v>1424</v>
      </c>
    </row>
    <row r="98" customFormat="false" ht="15" hidden="false" customHeight="false" outlineLevel="0" collapsed="false">
      <c r="A98" s="2" t="s">
        <v>1425</v>
      </c>
    </row>
    <row r="99" customFormat="false" ht="15" hidden="false" customHeight="false" outlineLevel="0" collapsed="false">
      <c r="A99" s="2" t="s">
        <v>1426</v>
      </c>
    </row>
    <row r="100" customFormat="false" ht="15" hidden="false" customHeight="false" outlineLevel="0" collapsed="false">
      <c r="A100" s="2" t="s">
        <v>1427</v>
      </c>
    </row>
    <row r="101" customFormat="false" ht="15" hidden="false" customHeight="false" outlineLevel="0" collapsed="false">
      <c r="A101" s="2" t="s">
        <v>1428</v>
      </c>
    </row>
    <row r="102" customFormat="false" ht="15" hidden="false" customHeight="false" outlineLevel="0" collapsed="false">
      <c r="A102" s="2" t="s">
        <v>1429</v>
      </c>
    </row>
    <row r="103" customFormat="false" ht="15" hidden="false" customHeight="false" outlineLevel="0" collapsed="false">
      <c r="A103" s="2" t="s">
        <v>1430</v>
      </c>
    </row>
    <row r="104" customFormat="false" ht="15" hidden="false" customHeight="false" outlineLevel="0" collapsed="false">
      <c r="A104" s="2" t="s">
        <v>1431</v>
      </c>
    </row>
    <row r="105" customFormat="false" ht="15" hidden="false" customHeight="false" outlineLevel="0" collapsed="false">
      <c r="A105" s="2" t="s">
        <v>1432</v>
      </c>
    </row>
    <row r="106" customFormat="false" ht="15" hidden="false" customHeight="false" outlineLevel="0" collapsed="false">
      <c r="A106" s="2" t="s">
        <v>1433</v>
      </c>
    </row>
    <row r="107" customFormat="false" ht="15" hidden="false" customHeight="false" outlineLevel="0" collapsed="false">
      <c r="A107" s="2" t="s">
        <v>1434</v>
      </c>
    </row>
    <row r="108" customFormat="false" ht="15" hidden="false" customHeight="false" outlineLevel="0" collapsed="false">
      <c r="A108" s="2" t="s">
        <v>1435</v>
      </c>
    </row>
    <row r="109" customFormat="false" ht="15" hidden="false" customHeight="false" outlineLevel="0" collapsed="false">
      <c r="A109" s="2" t="s">
        <v>1436</v>
      </c>
    </row>
    <row r="110" customFormat="false" ht="15" hidden="false" customHeight="false" outlineLevel="0" collapsed="false">
      <c r="A110" s="2" t="s">
        <v>1437</v>
      </c>
    </row>
    <row r="111" customFormat="false" ht="15" hidden="false" customHeight="false" outlineLevel="0" collapsed="false">
      <c r="A111" s="2" t="s">
        <v>1438</v>
      </c>
    </row>
    <row r="112" customFormat="false" ht="15" hidden="false" customHeight="false" outlineLevel="0" collapsed="false">
      <c r="A112" s="2" t="s">
        <v>1439</v>
      </c>
    </row>
    <row r="113" customFormat="false" ht="15" hidden="false" customHeight="false" outlineLevel="0" collapsed="false">
      <c r="A113" s="2" t="s">
        <v>1440</v>
      </c>
    </row>
    <row r="114" customFormat="false" ht="15" hidden="false" customHeight="false" outlineLevel="0" collapsed="false">
      <c r="A114" s="2" t="s">
        <v>1441</v>
      </c>
    </row>
    <row r="115" customFormat="false" ht="15" hidden="false" customHeight="false" outlineLevel="0" collapsed="false">
      <c r="A115" s="2" t="s">
        <v>1442</v>
      </c>
    </row>
    <row r="116" customFormat="false" ht="15" hidden="false" customHeight="false" outlineLevel="0" collapsed="false">
      <c r="A116" s="2" t="s">
        <v>1443</v>
      </c>
    </row>
    <row r="117" customFormat="false" ht="15" hidden="false" customHeight="false" outlineLevel="0" collapsed="false">
      <c r="A117" s="2" t="s">
        <v>1444</v>
      </c>
    </row>
    <row r="118" customFormat="false" ht="15" hidden="false" customHeight="false" outlineLevel="0" collapsed="false">
      <c r="A118" s="2" t="s">
        <v>1445</v>
      </c>
    </row>
    <row r="119" customFormat="false" ht="15" hidden="false" customHeight="false" outlineLevel="0" collapsed="false">
      <c r="A119" s="2" t="s">
        <v>1446</v>
      </c>
    </row>
    <row r="120" customFormat="false" ht="15" hidden="false" customHeight="false" outlineLevel="0" collapsed="false">
      <c r="A120" s="2"/>
    </row>
    <row r="121" customFormat="false" ht="15" hidden="false" customHeight="false" outlineLevel="0" collapsed="false">
      <c r="A121" s="3" t="s">
        <v>1447</v>
      </c>
    </row>
    <row r="122" customFormat="false" ht="15" hidden="false" customHeight="false" outlineLevel="0" collapsed="false">
      <c r="A122" s="2" t="s">
        <v>1448</v>
      </c>
    </row>
    <row r="123" customFormat="false" ht="15" hidden="false" customHeight="false" outlineLevel="0" collapsed="false">
      <c r="A123" s="2" t="s">
        <v>1449</v>
      </c>
    </row>
    <row r="124" customFormat="false" ht="15" hidden="false" customHeight="false" outlineLevel="0" collapsed="false">
      <c r="A124" s="2" t="s">
        <v>1450</v>
      </c>
    </row>
    <row r="125" customFormat="false" ht="15" hidden="false" customHeight="false" outlineLevel="0" collapsed="false">
      <c r="A125" s="2" t="s">
        <v>1451</v>
      </c>
    </row>
    <row r="126" customFormat="false" ht="15" hidden="false" customHeight="false" outlineLevel="0" collapsed="false">
      <c r="A126" s="2"/>
    </row>
    <row r="127" customFormat="false" ht="15" hidden="false" customHeight="false" outlineLevel="0" collapsed="false">
      <c r="A127" s="2" t="s">
        <v>1452</v>
      </c>
    </row>
    <row r="128" customFormat="false" ht="15" hidden="false" customHeight="false" outlineLevel="0" collapsed="false">
      <c r="A128" s="2" t="s">
        <v>1453</v>
      </c>
    </row>
    <row r="129" customFormat="false" ht="15" hidden="false" customHeight="false" outlineLevel="0" collapsed="false">
      <c r="A129" s="2" t="s">
        <v>1454</v>
      </c>
    </row>
    <row r="130" customFormat="false" ht="15" hidden="false" customHeight="false" outlineLevel="0" collapsed="false">
      <c r="A130" s="2" t="s">
        <v>1455</v>
      </c>
    </row>
    <row r="131" customFormat="false" ht="15" hidden="false" customHeight="false" outlineLevel="0" collapsed="false">
      <c r="A131" s="2" t="s">
        <v>1456</v>
      </c>
    </row>
    <row r="132" customFormat="false" ht="15" hidden="false" customHeight="false" outlineLevel="0" collapsed="false">
      <c r="A132" s="2" t="s">
        <v>1457</v>
      </c>
    </row>
    <row r="133" customFormat="false" ht="15" hidden="false" customHeight="false" outlineLevel="0" collapsed="false">
      <c r="A133" s="2" t="s">
        <v>1458</v>
      </c>
    </row>
    <row r="134" customFormat="false" ht="15" hidden="false" customHeight="false" outlineLevel="0" collapsed="false">
      <c r="A134" s="2" t="s">
        <v>1459</v>
      </c>
    </row>
    <row r="135" customFormat="false" ht="15" hidden="false" customHeight="false" outlineLevel="0" collapsed="false">
      <c r="A135" s="2" t="s">
        <v>1460</v>
      </c>
    </row>
    <row r="136" customFormat="false" ht="15" hidden="false" customHeight="false" outlineLevel="0" collapsed="false">
      <c r="A136" s="2" t="s">
        <v>1461</v>
      </c>
    </row>
    <row r="137" customFormat="false" ht="15" hidden="false" customHeight="false" outlineLevel="0" collapsed="false">
      <c r="A137" s="2" t="s">
        <v>1462</v>
      </c>
    </row>
    <row r="138" customFormat="false" ht="15" hidden="false" customHeight="false" outlineLevel="0" collapsed="false">
      <c r="A138" s="2" t="s">
        <v>1463</v>
      </c>
    </row>
    <row r="139" customFormat="false" ht="15" hidden="false" customHeight="false" outlineLevel="0" collapsed="false">
      <c r="A139" s="2"/>
    </row>
    <row r="140" customFormat="false" ht="15" hidden="false" customHeight="false" outlineLevel="0" collapsed="false">
      <c r="A140" s="2" t="s">
        <v>1464</v>
      </c>
    </row>
    <row r="141" customFormat="false" ht="15" hidden="false" customHeight="false" outlineLevel="0" collapsed="false">
      <c r="A141" s="2" t="s">
        <v>1465</v>
      </c>
    </row>
    <row r="142" customFormat="false" ht="15" hidden="false" customHeight="false" outlineLevel="0" collapsed="false">
      <c r="A142" s="2" t="s">
        <v>1466</v>
      </c>
    </row>
    <row r="143" customFormat="false" ht="15" hidden="false" customHeight="false" outlineLevel="0" collapsed="false">
      <c r="A143" s="2" t="s">
        <v>1467</v>
      </c>
    </row>
    <row r="144" customFormat="false" ht="15" hidden="false" customHeight="false" outlineLevel="0" collapsed="false">
      <c r="A144" s="2" t="s">
        <v>1468</v>
      </c>
    </row>
    <row r="145" customFormat="false" ht="15" hidden="false" customHeight="false" outlineLevel="0" collapsed="false">
      <c r="A145" s="2" t="s">
        <v>1469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50"/>
    <col collapsed="false" customWidth="true" hidden="false" outlineLevel="0" max="3" min="3" style="0" width="14"/>
    <col collapsed="false" customWidth="true" hidden="false" outlineLevel="0" max="4" min="4" style="0" width="32"/>
    <col collapsed="false" customWidth="true" hidden="false" outlineLevel="0" max="5" min="5" style="0" width="16"/>
  </cols>
  <sheetData>
    <row r="1" customFormat="false" ht="15" hidden="false" customHeight="false" outlineLevel="0" collapsed="false">
      <c r="A1" s="4" t="s">
        <v>1470</v>
      </c>
      <c r="B1" s="4" t="s">
        <v>1471</v>
      </c>
      <c r="C1" s="6"/>
      <c r="D1" s="6"/>
      <c r="E1" s="6"/>
    </row>
    <row r="2" customFormat="false" ht="53.7" hidden="false" customHeight="false" outlineLevel="0" collapsed="false">
      <c r="A2" s="5" t="s">
        <v>1472</v>
      </c>
      <c r="B2" s="5" t="s">
        <v>1473</v>
      </c>
      <c r="C2" s="6"/>
      <c r="D2" s="6"/>
      <c r="E2" s="6"/>
    </row>
    <row r="3" customFormat="false" ht="53.7" hidden="false" customHeight="false" outlineLevel="0" collapsed="false">
      <c r="A3" s="5" t="s">
        <v>1474</v>
      </c>
      <c r="B3" s="5" t="s">
        <v>1475</v>
      </c>
      <c r="C3" s="6"/>
      <c r="D3" s="6"/>
      <c r="E3" s="6"/>
    </row>
    <row r="4" customFormat="false" ht="22.35" hidden="false" customHeight="false" outlineLevel="0" collapsed="false">
      <c r="A4" s="5" t="s">
        <v>1476</v>
      </c>
      <c r="B4" s="5" t="s">
        <v>1477</v>
      </c>
      <c r="C4" s="6"/>
      <c r="D4" s="6"/>
      <c r="E4" s="6"/>
    </row>
    <row r="5" customFormat="false" ht="64.15" hidden="false" customHeight="false" outlineLevel="0" collapsed="false">
      <c r="A5" s="5" t="s">
        <v>1478</v>
      </c>
      <c r="B5" s="5" t="s">
        <v>1479</v>
      </c>
      <c r="C5" s="6"/>
      <c r="D5" s="6"/>
      <c r="E5" s="6"/>
    </row>
    <row r="6" customFormat="false" ht="43.25" hidden="false" customHeight="false" outlineLevel="0" collapsed="false">
      <c r="A6" s="5" t="s">
        <v>1480</v>
      </c>
      <c r="B6" s="5" t="s">
        <v>1481</v>
      </c>
      <c r="C6" s="6"/>
      <c r="D6" s="6"/>
      <c r="E6" s="6"/>
    </row>
    <row r="7" customFormat="false" ht="85.05" hidden="false" customHeight="false" outlineLevel="0" collapsed="false">
      <c r="A7" s="5" t="s">
        <v>1482</v>
      </c>
      <c r="B7" s="5" t="s">
        <v>1483</v>
      </c>
      <c r="C7" s="6"/>
      <c r="D7" s="6"/>
      <c r="E7" s="6"/>
    </row>
    <row r="8" customFormat="false" ht="43.25" hidden="false" customHeight="false" outlineLevel="0" collapsed="false">
      <c r="A8" s="5" t="s">
        <v>1484</v>
      </c>
      <c r="B8" s="5" t="s">
        <v>1485</v>
      </c>
      <c r="C8" s="6"/>
      <c r="D8" s="6"/>
      <c r="E8" s="6"/>
    </row>
    <row r="9" customFormat="false" ht="22.35" hidden="false" customHeight="false" outlineLevel="0" collapsed="false">
      <c r="A9" s="5" t="s">
        <v>1486</v>
      </c>
      <c r="B9" s="5" t="s">
        <v>1487</v>
      </c>
      <c r="C9" s="6"/>
      <c r="D9" s="6"/>
      <c r="E9" s="6"/>
    </row>
    <row r="10" customFormat="false" ht="15" hidden="false" customHeight="false" outlineLevel="0" collapsed="false">
      <c r="A10" s="5" t="s">
        <v>1488</v>
      </c>
      <c r="B10" s="5" t="n">
        <v>100</v>
      </c>
      <c r="C10" s="6"/>
      <c r="D10" s="6"/>
      <c r="E10" s="6"/>
    </row>
    <row r="11" customFormat="false" ht="74.6" hidden="false" customHeight="false" outlineLevel="0" collapsed="false">
      <c r="A11" s="5" t="s">
        <v>1489</v>
      </c>
      <c r="B11" s="5" t="s">
        <v>1490</v>
      </c>
      <c r="C11" s="6"/>
      <c r="D11" s="6"/>
      <c r="E11" s="6"/>
    </row>
    <row r="12" customFormat="false" ht="43.25" hidden="false" customHeight="false" outlineLevel="0" collapsed="false">
      <c r="A12" s="5" t="s">
        <v>1491</v>
      </c>
      <c r="B12" s="5" t="s">
        <v>1492</v>
      </c>
      <c r="C12" s="6"/>
      <c r="D12" s="6"/>
      <c r="E12" s="6"/>
    </row>
    <row r="13" customFormat="false" ht="22.35" hidden="false" customHeight="false" outlineLevel="0" collapsed="false">
      <c r="A13" s="5" t="s">
        <v>1493</v>
      </c>
      <c r="B13" s="5" t="s">
        <v>1494</v>
      </c>
      <c r="C13" s="6"/>
      <c r="D13" s="6"/>
      <c r="E13" s="6"/>
    </row>
    <row r="14" customFormat="false" ht="15" hidden="false" customHeight="false" outlineLevel="0" collapsed="false">
      <c r="A14" s="5" t="s">
        <v>1495</v>
      </c>
      <c r="B14" s="5" t="s">
        <v>1496</v>
      </c>
      <c r="C14" s="6"/>
      <c r="D14" s="6"/>
      <c r="E14" s="6"/>
    </row>
    <row r="15" customFormat="false" ht="15" hidden="false" customHeight="false" outlineLevel="0" collapsed="false">
      <c r="A15" s="5" t="s">
        <v>1497</v>
      </c>
      <c r="B15" s="5" t="s">
        <v>1498</v>
      </c>
      <c r="C15" s="6"/>
      <c r="D15" s="6"/>
      <c r="E15" s="6"/>
    </row>
    <row r="16" customFormat="false" ht="15" hidden="false" customHeight="false" outlineLevel="0" collapsed="false">
      <c r="A16" s="5" t="s">
        <v>1499</v>
      </c>
      <c r="B16" s="5" t="s">
        <v>1500</v>
      </c>
      <c r="C16" s="6"/>
      <c r="D16" s="6"/>
      <c r="E16" s="6"/>
    </row>
    <row r="17" customFormat="false" ht="15" hidden="false" customHeight="false" outlineLevel="0" collapsed="false">
      <c r="A17" s="5" t="s">
        <v>1501</v>
      </c>
      <c r="B17" s="5" t="s">
        <v>1502</v>
      </c>
      <c r="C17" s="6"/>
      <c r="D17" s="6"/>
      <c r="E17" s="6"/>
    </row>
    <row r="18" customFormat="false" ht="32.8" hidden="false" customHeight="false" outlineLevel="0" collapsed="false">
      <c r="A18" s="5" t="s">
        <v>1503</v>
      </c>
      <c r="B18" s="5" t="s">
        <v>1504</v>
      </c>
      <c r="C18" s="6"/>
      <c r="D18" s="6"/>
      <c r="E18" s="6"/>
    </row>
    <row r="19" customFormat="false" ht="15" hidden="false" customHeight="false" outlineLevel="0" collapsed="false">
      <c r="A19" s="5" t="s">
        <v>1505</v>
      </c>
      <c r="B19" s="5" t="s">
        <v>1506</v>
      </c>
      <c r="C19" s="6"/>
      <c r="D19" s="6"/>
      <c r="E19" s="6"/>
    </row>
    <row r="20" customFormat="false" ht="64.15" hidden="false" customHeight="false" outlineLevel="0" collapsed="false">
      <c r="A20" s="5" t="s">
        <v>1507</v>
      </c>
      <c r="B20" s="5" t="s">
        <v>1508</v>
      </c>
      <c r="C20" s="6"/>
      <c r="D20" s="6"/>
      <c r="E20" s="6"/>
    </row>
    <row r="21" customFormat="false" ht="32.8" hidden="false" customHeight="false" outlineLevel="0" collapsed="false">
      <c r="A21" s="5" t="s">
        <v>1509</v>
      </c>
      <c r="B21" s="5" t="s">
        <v>1510</v>
      </c>
      <c r="C21" s="6"/>
      <c r="D21" s="6"/>
      <c r="E21" s="6"/>
    </row>
    <row r="22" customFormat="false" ht="22.35" hidden="false" customHeight="false" outlineLevel="0" collapsed="false">
      <c r="A22" s="5" t="s">
        <v>1511</v>
      </c>
      <c r="B22" s="5" t="s">
        <v>1512</v>
      </c>
      <c r="C22" s="6"/>
      <c r="D22" s="6"/>
      <c r="E22" s="6"/>
    </row>
    <row r="23" customFormat="false" ht="15" hidden="false" customHeight="false" outlineLevel="0" collapsed="false">
      <c r="A23" s="6"/>
      <c r="B23" s="6"/>
      <c r="C23" s="6"/>
      <c r="D23" s="6"/>
      <c r="E23" s="6"/>
    </row>
    <row r="24" customFormat="false" ht="15" hidden="false" customHeight="false" outlineLevel="0" collapsed="false">
      <c r="A24" s="7" t="s">
        <v>1513</v>
      </c>
      <c r="B24" s="6"/>
      <c r="C24" s="6"/>
      <c r="D24" s="6"/>
      <c r="E24" s="6"/>
    </row>
    <row r="25" customFormat="false" ht="23.85" hidden="false" customHeight="false" outlineLevel="0" collapsed="false">
      <c r="A25" s="4" t="s">
        <v>1514</v>
      </c>
      <c r="B25" s="4" t="s">
        <v>1515</v>
      </c>
      <c r="C25" s="4" t="s">
        <v>1516</v>
      </c>
      <c r="D25" s="6"/>
      <c r="E25" s="6"/>
    </row>
    <row r="26" customFormat="false" ht="15" hidden="false" customHeight="false" outlineLevel="0" collapsed="false">
      <c r="A26" s="5" t="n">
        <v>10</v>
      </c>
      <c r="B26" s="5" t="n">
        <v>48</v>
      </c>
      <c r="C26" s="5" t="n">
        <v>1</v>
      </c>
      <c r="D26" s="6"/>
      <c r="E26" s="6"/>
    </row>
    <row r="27" customFormat="false" ht="15" hidden="false" customHeight="false" outlineLevel="0" collapsed="false">
      <c r="A27" s="5" t="n">
        <v>20</v>
      </c>
      <c r="B27" s="5" t="n">
        <v>44</v>
      </c>
      <c r="C27" s="5" t="n">
        <v>1</v>
      </c>
      <c r="D27" s="6"/>
      <c r="E27" s="6"/>
    </row>
    <row r="28" customFormat="false" ht="15" hidden="false" customHeight="false" outlineLevel="0" collapsed="false">
      <c r="A28" s="5" t="n">
        <v>50</v>
      </c>
      <c r="B28" s="5" t="n">
        <v>36</v>
      </c>
      <c r="C28" s="5" t="n">
        <v>0.977</v>
      </c>
      <c r="D28" s="6"/>
      <c r="E28" s="6"/>
    </row>
    <row r="29" customFormat="false" ht="15" hidden="false" customHeight="false" outlineLevel="0" collapsed="false">
      <c r="A29" s="5" t="n">
        <v>100</v>
      </c>
      <c r="B29" s="5" t="n">
        <v>27</v>
      </c>
      <c r="C29" s="5" t="n">
        <v>0.955</v>
      </c>
      <c r="D29" s="6"/>
      <c r="E29" s="6"/>
    </row>
    <row r="30" customFormat="false" ht="15" hidden="false" customHeight="false" outlineLevel="0" collapsed="false">
      <c r="A30" s="5" t="n">
        <v>200</v>
      </c>
      <c r="B30" s="5" t="n">
        <v>25</v>
      </c>
      <c r="C30" s="5" t="n">
        <v>0.841</v>
      </c>
      <c r="D30" s="6"/>
      <c r="E30" s="6"/>
    </row>
    <row r="31" customFormat="false" ht="15" hidden="false" customHeight="false" outlineLevel="0" collapsed="false">
      <c r="A31" s="5" t="n">
        <v>500</v>
      </c>
      <c r="B31" s="5" t="n">
        <v>21</v>
      </c>
      <c r="C31" s="5" t="n">
        <v>0.727</v>
      </c>
      <c r="D31" s="6"/>
      <c r="E31" s="6"/>
    </row>
    <row r="32" customFormat="false" ht="15" hidden="false" customHeight="false" outlineLevel="0" collapsed="false">
      <c r="A32" s="5" t="n">
        <v>1000</v>
      </c>
      <c r="B32" s="5" t="n">
        <v>16</v>
      </c>
      <c r="C32" s="5" t="n">
        <v>0.614</v>
      </c>
      <c r="D32" s="6"/>
      <c r="E32" s="6"/>
    </row>
    <row r="33" customFormat="false" ht="15" hidden="false" customHeight="false" outlineLevel="0" collapsed="false">
      <c r="A33" s="6"/>
      <c r="B33" s="6"/>
      <c r="C33" s="6"/>
      <c r="D33" s="6"/>
      <c r="E33" s="6"/>
    </row>
    <row r="34" customFormat="false" ht="15" hidden="false" customHeight="false" outlineLevel="0" collapsed="false">
      <c r="A34" s="7" t="s">
        <v>1517</v>
      </c>
      <c r="B34" s="6"/>
      <c r="C34" s="6"/>
      <c r="D34" s="6"/>
      <c r="E34" s="6"/>
    </row>
    <row r="35" customFormat="false" ht="15" hidden="false" customHeight="false" outlineLevel="0" collapsed="false">
      <c r="A35" s="4" t="s">
        <v>15</v>
      </c>
      <c r="B35" s="4" t="s">
        <v>1307</v>
      </c>
      <c r="C35" s="4" t="s">
        <v>1518</v>
      </c>
      <c r="D35" s="4" t="s">
        <v>1519</v>
      </c>
      <c r="E35" s="4" t="s">
        <v>1520</v>
      </c>
    </row>
    <row r="36" customFormat="false" ht="15" hidden="false" customHeight="false" outlineLevel="0" collapsed="false">
      <c r="A36" s="5" t="s">
        <v>1070</v>
      </c>
      <c r="B36" s="5" t="s">
        <v>519</v>
      </c>
      <c r="C36" s="5" t="s">
        <v>1076</v>
      </c>
      <c r="D36" s="5" t="s">
        <v>1521</v>
      </c>
      <c r="E36" s="5" t="s">
        <v>68</v>
      </c>
    </row>
    <row r="37" customFormat="false" ht="15" hidden="false" customHeight="false" outlineLevel="0" collapsed="false">
      <c r="A37" s="5" t="s">
        <v>1127</v>
      </c>
      <c r="B37" s="5" t="s">
        <v>519</v>
      </c>
      <c r="C37" s="5" t="s">
        <v>1134</v>
      </c>
      <c r="D37" s="5" t="s">
        <v>1522</v>
      </c>
      <c r="E37" s="5" t="s">
        <v>68</v>
      </c>
    </row>
    <row r="38" customFormat="false" ht="15" hidden="false" customHeight="false" outlineLevel="0" collapsed="false">
      <c r="A38" s="5" t="s">
        <v>1102</v>
      </c>
      <c r="B38" s="5" t="s">
        <v>519</v>
      </c>
      <c r="C38" s="5" t="s">
        <v>1109</v>
      </c>
      <c r="D38" s="5" t="s">
        <v>1521</v>
      </c>
      <c r="E38" s="5" t="s">
        <v>68</v>
      </c>
    </row>
    <row r="39" customFormat="false" ht="15" hidden="false" customHeight="false" outlineLevel="0" collapsed="false">
      <c r="A39" s="5" t="s">
        <v>225</v>
      </c>
      <c r="B39" s="5" t="s">
        <v>182</v>
      </c>
      <c r="C39" s="5" t="s">
        <v>231</v>
      </c>
      <c r="D39" s="5" t="s">
        <v>1523</v>
      </c>
      <c r="E39" s="5" t="s">
        <v>68</v>
      </c>
    </row>
    <row r="40" customFormat="false" ht="15" hidden="false" customHeight="false" outlineLevel="0" collapsed="false">
      <c r="A40" s="5" t="s">
        <v>200</v>
      </c>
      <c r="B40" s="5" t="s">
        <v>182</v>
      </c>
      <c r="C40" s="5" t="s">
        <v>206</v>
      </c>
      <c r="D40" s="5" t="s">
        <v>1524</v>
      </c>
      <c r="E40" s="5" t="s">
        <v>68</v>
      </c>
    </row>
    <row r="41" customFormat="false" ht="15" hidden="false" customHeight="false" outlineLevel="0" collapsed="false">
      <c r="A41" s="5" t="s">
        <v>254</v>
      </c>
      <c r="B41" s="5" t="s">
        <v>238</v>
      </c>
      <c r="C41" s="5" t="s">
        <v>261</v>
      </c>
      <c r="D41" s="5" t="s">
        <v>1524</v>
      </c>
      <c r="E41" s="5" t="s">
        <v>68</v>
      </c>
    </row>
    <row r="42" customFormat="false" ht="15" hidden="false" customHeight="false" outlineLevel="0" collapsed="false">
      <c r="A42" s="5" t="s">
        <v>233</v>
      </c>
      <c r="B42" s="5" t="s">
        <v>238</v>
      </c>
      <c r="C42" s="5" t="s">
        <v>244</v>
      </c>
      <c r="D42" s="5" t="s">
        <v>1524</v>
      </c>
      <c r="E42" s="5" t="s">
        <v>68</v>
      </c>
    </row>
    <row r="43" customFormat="false" ht="15" hidden="false" customHeight="false" outlineLevel="0" collapsed="false">
      <c r="A43" s="5" t="s">
        <v>246</v>
      </c>
      <c r="B43" s="5" t="s">
        <v>238</v>
      </c>
      <c r="C43" s="5" t="s">
        <v>252</v>
      </c>
      <c r="D43" s="5" t="s">
        <v>1524</v>
      </c>
      <c r="E43" s="5" t="s">
        <v>68</v>
      </c>
    </row>
    <row r="44" customFormat="false" ht="15" hidden="false" customHeight="false" outlineLevel="0" collapsed="false">
      <c r="A44" s="5" t="s">
        <v>271</v>
      </c>
      <c r="B44" s="5" t="s">
        <v>238</v>
      </c>
      <c r="C44" s="5" t="s">
        <v>277</v>
      </c>
      <c r="D44" s="5" t="s">
        <v>1524</v>
      </c>
      <c r="E44" s="5" t="s">
        <v>68</v>
      </c>
    </row>
    <row r="45" customFormat="false" ht="15" hidden="false" customHeight="false" outlineLevel="0" collapsed="false">
      <c r="A45" s="5" t="s">
        <v>339</v>
      </c>
      <c r="B45" s="5" t="s">
        <v>306</v>
      </c>
      <c r="C45" s="5" t="s">
        <v>345</v>
      </c>
      <c r="D45" s="5" t="s">
        <v>1524</v>
      </c>
      <c r="E45" s="5" t="s">
        <v>68</v>
      </c>
    </row>
    <row r="46" customFormat="false" ht="15" hidden="false" customHeight="false" outlineLevel="0" collapsed="false">
      <c r="A46" s="5" t="s">
        <v>331</v>
      </c>
      <c r="B46" s="5" t="s">
        <v>306</v>
      </c>
      <c r="C46" s="5" t="s">
        <v>337</v>
      </c>
      <c r="D46" s="5" t="s">
        <v>1524</v>
      </c>
      <c r="E46" s="5" t="s">
        <v>52</v>
      </c>
    </row>
    <row r="47" customFormat="false" ht="15" hidden="false" customHeight="false" outlineLevel="0" collapsed="false">
      <c r="A47" s="5" t="s">
        <v>322</v>
      </c>
      <c r="B47" s="5" t="s">
        <v>306</v>
      </c>
      <c r="C47" s="5" t="s">
        <v>329</v>
      </c>
      <c r="D47" s="5" t="s">
        <v>1524</v>
      </c>
      <c r="E47" s="5" t="s">
        <v>52</v>
      </c>
    </row>
    <row r="48" customFormat="false" ht="15" hidden="false" customHeight="false" outlineLevel="0" collapsed="false">
      <c r="A48" s="5" t="s">
        <v>376</v>
      </c>
      <c r="B48" s="5" t="s">
        <v>360</v>
      </c>
      <c r="C48" s="5" t="s">
        <v>382</v>
      </c>
      <c r="D48" s="5" t="s">
        <v>1524</v>
      </c>
      <c r="E48" s="5" t="s">
        <v>68</v>
      </c>
    </row>
    <row r="49" customFormat="false" ht="15" hidden="false" customHeight="false" outlineLevel="0" collapsed="false">
      <c r="A49" s="5" t="s">
        <v>416</v>
      </c>
      <c r="B49" s="5" t="s">
        <v>360</v>
      </c>
      <c r="C49" s="5" t="s">
        <v>422</v>
      </c>
      <c r="D49" s="5" t="s">
        <v>1524</v>
      </c>
      <c r="E49" s="5" t="s">
        <v>68</v>
      </c>
    </row>
    <row r="50" customFormat="false" ht="15" hidden="false" customHeight="false" outlineLevel="0" collapsed="false">
      <c r="A50" s="5" t="s">
        <v>355</v>
      </c>
      <c r="B50" s="5" t="s">
        <v>360</v>
      </c>
      <c r="C50" s="5" t="s">
        <v>366</v>
      </c>
      <c r="D50" s="5" t="s">
        <v>1524</v>
      </c>
      <c r="E50" s="5" t="s">
        <v>68</v>
      </c>
    </row>
    <row r="51" customFormat="false" ht="15" hidden="false" customHeight="false" outlineLevel="0" collapsed="false">
      <c r="A51" s="5" t="s">
        <v>459</v>
      </c>
      <c r="B51" s="5" t="s">
        <v>429</v>
      </c>
      <c r="C51" s="5" t="s">
        <v>464</v>
      </c>
      <c r="D51" s="5" t="s">
        <v>1524</v>
      </c>
      <c r="E51" s="5" t="s">
        <v>68</v>
      </c>
    </row>
    <row r="52" customFormat="false" ht="15" hidden="false" customHeight="false" outlineLevel="0" collapsed="false">
      <c r="A52" s="5" t="s">
        <v>424</v>
      </c>
      <c r="B52" s="5" t="s">
        <v>429</v>
      </c>
      <c r="C52" s="5" t="s">
        <v>434</v>
      </c>
      <c r="D52" s="5" t="s">
        <v>1524</v>
      </c>
      <c r="E52" s="5" t="s">
        <v>68</v>
      </c>
    </row>
    <row r="53" customFormat="false" ht="15" hidden="false" customHeight="false" outlineLevel="0" collapsed="false">
      <c r="A53" s="5" t="s">
        <v>452</v>
      </c>
      <c r="B53" s="5" t="s">
        <v>429</v>
      </c>
      <c r="C53" s="5" t="s">
        <v>457</v>
      </c>
      <c r="D53" s="5" t="s">
        <v>1524</v>
      </c>
      <c r="E53" s="5" t="s">
        <v>68</v>
      </c>
    </row>
    <row r="54" customFormat="false" ht="15" hidden="false" customHeight="false" outlineLevel="0" collapsed="false">
      <c r="A54" s="5" t="s">
        <v>436</v>
      </c>
      <c r="B54" s="5" t="s">
        <v>429</v>
      </c>
      <c r="C54" s="5" t="s">
        <v>442</v>
      </c>
      <c r="D54" s="5" t="s">
        <v>1524</v>
      </c>
      <c r="E54" s="5" t="s">
        <v>52</v>
      </c>
    </row>
    <row r="55" customFormat="false" ht="15" hidden="false" customHeight="false" outlineLevel="0" collapsed="false">
      <c r="A55" s="5" t="s">
        <v>524</v>
      </c>
      <c r="B55" s="5" t="s">
        <v>493</v>
      </c>
      <c r="C55" s="5" t="s">
        <v>529</v>
      </c>
      <c r="D55" s="5" t="s">
        <v>1524</v>
      </c>
      <c r="E55" s="5" t="s">
        <v>68</v>
      </c>
    </row>
    <row r="56" customFormat="false" ht="15" hidden="false" customHeight="false" outlineLevel="0" collapsed="false">
      <c r="A56" s="5" t="s">
        <v>488</v>
      </c>
      <c r="B56" s="5" t="s">
        <v>493</v>
      </c>
      <c r="C56" s="5" t="s">
        <v>498</v>
      </c>
      <c r="D56" s="5" t="s">
        <v>1524</v>
      </c>
      <c r="E56" s="5" t="s">
        <v>68</v>
      </c>
    </row>
    <row r="57" customFormat="false" ht="15" hidden="false" customHeight="false" outlineLevel="0" collapsed="false">
      <c r="A57" s="5" t="s">
        <v>539</v>
      </c>
      <c r="B57" s="5" t="s">
        <v>493</v>
      </c>
      <c r="C57" s="5" t="s">
        <v>544</v>
      </c>
      <c r="D57" s="5" t="s">
        <v>1521</v>
      </c>
      <c r="E57" s="5" t="s">
        <v>52</v>
      </c>
    </row>
    <row r="58" customFormat="false" ht="15" hidden="false" customHeight="false" outlineLevel="0" collapsed="false">
      <c r="A58" s="5" t="s">
        <v>500</v>
      </c>
      <c r="B58" s="5" t="s">
        <v>493</v>
      </c>
      <c r="C58" s="5" t="s">
        <v>506</v>
      </c>
      <c r="D58" s="5" t="s">
        <v>1524</v>
      </c>
      <c r="E58" s="5" t="s">
        <v>68</v>
      </c>
    </row>
    <row r="59" customFormat="false" ht="15" hidden="false" customHeight="false" outlineLevel="0" collapsed="false">
      <c r="A59" s="5" t="s">
        <v>1005</v>
      </c>
      <c r="B59" s="5" t="s">
        <v>837</v>
      </c>
      <c r="C59" s="5" t="s">
        <v>1011</v>
      </c>
      <c r="D59" s="5" t="s">
        <v>1522</v>
      </c>
      <c r="E59" s="5" t="s">
        <v>68</v>
      </c>
    </row>
    <row r="60" customFormat="false" ht="15" hidden="false" customHeight="false" outlineLevel="0" collapsed="false">
      <c r="A60" s="5" t="s">
        <v>1013</v>
      </c>
      <c r="B60" s="5" t="s">
        <v>837</v>
      </c>
      <c r="C60" s="5" t="s">
        <v>1019</v>
      </c>
      <c r="D60" s="5" t="s">
        <v>1524</v>
      </c>
      <c r="E60" s="5" t="s">
        <v>68</v>
      </c>
    </row>
    <row r="61" customFormat="false" ht="15" hidden="false" customHeight="false" outlineLevel="0" collapsed="false">
      <c r="A61" s="5" t="s">
        <v>618</v>
      </c>
      <c r="B61" s="5" t="s">
        <v>559</v>
      </c>
      <c r="C61" s="5" t="s">
        <v>625</v>
      </c>
      <c r="D61" s="5" t="s">
        <v>1522</v>
      </c>
      <c r="E61" s="5" t="s">
        <v>68</v>
      </c>
    </row>
    <row r="62" customFormat="false" ht="15" hidden="false" customHeight="false" outlineLevel="0" collapsed="false">
      <c r="A62" s="5" t="s">
        <v>601</v>
      </c>
      <c r="B62" s="5" t="s">
        <v>559</v>
      </c>
      <c r="C62" s="5" t="s">
        <v>607</v>
      </c>
      <c r="D62" s="5" t="s">
        <v>1522</v>
      </c>
      <c r="E62" s="5" t="s">
        <v>68</v>
      </c>
    </row>
    <row r="63" customFormat="false" ht="15" hidden="false" customHeight="false" outlineLevel="0" collapsed="false">
      <c r="A63" s="5" t="s">
        <v>680</v>
      </c>
      <c r="B63" s="5" t="s">
        <v>632</v>
      </c>
      <c r="C63" s="5" t="s">
        <v>686</v>
      </c>
      <c r="D63" s="5" t="s">
        <v>1522</v>
      </c>
      <c r="E63" s="5" t="s">
        <v>68</v>
      </c>
    </row>
    <row r="64" customFormat="false" ht="15" hidden="false" customHeight="false" outlineLevel="0" collapsed="false">
      <c r="A64" s="5" t="s">
        <v>672</v>
      </c>
      <c r="B64" s="5" t="s">
        <v>632</v>
      </c>
      <c r="C64" s="5" t="s">
        <v>678</v>
      </c>
      <c r="D64" s="5" t="s">
        <v>1522</v>
      </c>
      <c r="E64" s="5" t="s">
        <v>68</v>
      </c>
    </row>
    <row r="65" customFormat="false" ht="15" hidden="false" customHeight="false" outlineLevel="0" collapsed="false">
      <c r="A65" s="5" t="s">
        <v>749</v>
      </c>
      <c r="B65" s="5" t="s">
        <v>693</v>
      </c>
      <c r="C65" s="5" t="s">
        <v>755</v>
      </c>
      <c r="D65" s="5" t="s">
        <v>1522</v>
      </c>
      <c r="E65" s="5" t="s">
        <v>52</v>
      </c>
    </row>
    <row r="66" customFormat="false" ht="15" hidden="false" customHeight="false" outlineLevel="0" collapsed="false">
      <c r="A66" s="5" t="s">
        <v>800</v>
      </c>
      <c r="B66" s="5" t="s">
        <v>770</v>
      </c>
      <c r="C66" s="5" t="s">
        <v>806</v>
      </c>
      <c r="D66" s="5" t="s">
        <v>1522</v>
      </c>
      <c r="E66" s="5" t="s">
        <v>68</v>
      </c>
    </row>
    <row r="67" customFormat="false" ht="15" hidden="false" customHeight="false" outlineLevel="0" collapsed="false">
      <c r="A67" s="5" t="s">
        <v>879</v>
      </c>
      <c r="B67" s="5" t="s">
        <v>836</v>
      </c>
      <c r="C67" s="5" t="s">
        <v>885</v>
      </c>
      <c r="D67" s="5" t="s">
        <v>1522</v>
      </c>
      <c r="E67" s="5" t="s">
        <v>52</v>
      </c>
    </row>
    <row r="68" customFormat="false" ht="15" hidden="false" customHeight="false" outlineLevel="0" collapsed="false">
      <c r="A68" s="5" t="s">
        <v>872</v>
      </c>
      <c r="B68" s="5" t="s">
        <v>836</v>
      </c>
      <c r="C68" s="5" t="s">
        <v>877</v>
      </c>
      <c r="D68" s="5" t="s">
        <v>1525</v>
      </c>
      <c r="E68" s="5" t="s">
        <v>68</v>
      </c>
    </row>
    <row r="69" customFormat="false" ht="15" hidden="false" customHeight="false" outlineLevel="0" collapsed="false">
      <c r="A69" s="5" t="s">
        <v>895</v>
      </c>
      <c r="B69" s="5" t="s">
        <v>836</v>
      </c>
      <c r="C69" s="5" t="s">
        <v>901</v>
      </c>
      <c r="D69" s="5" t="s">
        <v>1521</v>
      </c>
      <c r="E69" s="5" t="s">
        <v>52</v>
      </c>
    </row>
    <row r="70" customFormat="false" ht="22.35" hidden="false" customHeight="false" outlineLevel="0" collapsed="false">
      <c r="A70" s="5" t="s">
        <v>135</v>
      </c>
      <c r="B70" s="5" t="s">
        <v>127</v>
      </c>
      <c r="C70" s="5"/>
      <c r="D70" s="5" t="s">
        <v>1526</v>
      </c>
      <c r="E70" s="5" t="s">
        <v>141</v>
      </c>
    </row>
    <row r="71" customFormat="false" ht="15" hidden="false" customHeight="false" outlineLevel="0" collapsed="false">
      <c r="A71" s="5" t="s">
        <v>122</v>
      </c>
      <c r="B71" s="5" t="s">
        <v>127</v>
      </c>
      <c r="C71" s="5" t="s">
        <v>133</v>
      </c>
      <c r="D71" s="5" t="s">
        <v>1524</v>
      </c>
      <c r="E71" s="5" t="s">
        <v>68</v>
      </c>
    </row>
    <row r="72" customFormat="false" ht="22.35" hidden="false" customHeight="false" outlineLevel="0" collapsed="false">
      <c r="A72" s="5" t="s">
        <v>170</v>
      </c>
      <c r="B72" s="5" t="s">
        <v>127</v>
      </c>
      <c r="C72" s="5"/>
      <c r="D72" s="5" t="s">
        <v>1526</v>
      </c>
      <c r="E72" s="5" t="s">
        <v>141</v>
      </c>
    </row>
    <row r="73" customFormat="false" ht="15" hidden="false" customHeight="false" outlineLevel="0" collapsed="false">
      <c r="A73" s="5" t="s">
        <v>104</v>
      </c>
      <c r="B73" s="5" t="s">
        <v>45</v>
      </c>
      <c r="C73" s="5" t="s">
        <v>111</v>
      </c>
      <c r="D73" s="5" t="s">
        <v>1524</v>
      </c>
      <c r="E73" s="5" t="s">
        <v>68</v>
      </c>
    </row>
    <row r="74" customFormat="false" ht="15" hidden="false" customHeight="false" outlineLevel="0" collapsed="false">
      <c r="A74" s="6"/>
      <c r="B74" s="6"/>
      <c r="C74" s="6"/>
      <c r="D74" s="6"/>
      <c r="E74" s="6"/>
    </row>
    <row r="75" customFormat="false" ht="15" hidden="false" customHeight="false" outlineLevel="0" collapsed="false">
      <c r="A75" s="7" t="s">
        <v>1527</v>
      </c>
      <c r="B75" s="6"/>
      <c r="C75" s="6"/>
      <c r="D75" s="6"/>
      <c r="E75" s="6"/>
    </row>
    <row r="76" customFormat="false" ht="15" hidden="false" customHeight="false" outlineLevel="0" collapsed="false">
      <c r="A76" s="4" t="s">
        <v>1528</v>
      </c>
      <c r="B76" s="4" t="s">
        <v>1529</v>
      </c>
      <c r="C76" s="4" t="s">
        <v>1530</v>
      </c>
      <c r="D76" s="6"/>
      <c r="E76" s="6"/>
    </row>
    <row r="77" customFormat="false" ht="15" hidden="false" customHeight="false" outlineLevel="0" collapsed="false">
      <c r="A77" s="5" t="s">
        <v>1531</v>
      </c>
      <c r="B77" s="13" t="n">
        <v>175350</v>
      </c>
      <c r="C77" s="14" t="n">
        <v>0.56282016716096</v>
      </c>
      <c r="D77" s="6"/>
      <c r="E77" s="6"/>
    </row>
    <row r="78" customFormat="false" ht="15" hidden="false" customHeight="false" outlineLevel="0" collapsed="false">
      <c r="A78" s="5" t="s">
        <v>1532</v>
      </c>
      <c r="B78" s="13" t="n">
        <v>54218</v>
      </c>
      <c r="C78" s="14" t="n">
        <v>0.174023289553082</v>
      </c>
      <c r="D78" s="6"/>
      <c r="E78" s="6"/>
    </row>
    <row r="79" customFormat="false" ht="15" hidden="false" customHeight="false" outlineLevel="0" collapsed="false">
      <c r="A79" s="5" t="s">
        <v>1533</v>
      </c>
      <c r="B79" s="13" t="n">
        <v>27451</v>
      </c>
      <c r="C79" s="14" t="n">
        <v>0.0881093607569747</v>
      </c>
      <c r="D79" s="6"/>
      <c r="E79" s="6"/>
    </row>
    <row r="80" customFormat="false" ht="15" hidden="false" customHeight="false" outlineLevel="0" collapsed="false">
      <c r="A80" s="5" t="s">
        <v>1534</v>
      </c>
      <c r="B80" s="13" t="n">
        <v>25301</v>
      </c>
      <c r="C80" s="14" t="n">
        <v>0.0812085146811488</v>
      </c>
      <c r="D80" s="6"/>
      <c r="E80" s="6"/>
    </row>
    <row r="81" customFormat="false" ht="15" hidden="false" customHeight="false" outlineLevel="0" collapsed="false">
      <c r="A81" s="5" t="s">
        <v>1535</v>
      </c>
      <c r="B81" s="13" t="n">
        <v>14660</v>
      </c>
      <c r="C81" s="14" t="n">
        <v>0.0470541411495847</v>
      </c>
      <c r="D81" s="6"/>
      <c r="E81" s="6"/>
    </row>
    <row r="82" customFormat="false" ht="15" hidden="false" customHeight="false" outlineLevel="0" collapsed="false">
      <c r="A82" s="5" t="s">
        <v>1536</v>
      </c>
      <c r="B82" s="13" t="n">
        <v>14576</v>
      </c>
      <c r="C82" s="14" t="n">
        <v>0.0467845266982501</v>
      </c>
      <c r="D82" s="6"/>
      <c r="E82" s="6"/>
    </row>
    <row r="83" customFormat="false" ht="15" hidden="false" customHeight="false" outlineLevel="0" collapsed="false">
      <c r="A83" s="6"/>
      <c r="B83" s="15"/>
      <c r="C83" s="16"/>
      <c r="D83" s="6"/>
      <c r="E83" s="6"/>
    </row>
    <row r="84" customFormat="false" ht="15" hidden="false" customHeight="false" outlineLevel="0" collapsed="false">
      <c r="A84" s="4" t="s">
        <v>1537</v>
      </c>
      <c r="B84" s="17" t="s">
        <v>1529</v>
      </c>
      <c r="C84" s="18" t="s">
        <v>1530</v>
      </c>
      <c r="D84" s="6"/>
      <c r="E84" s="6"/>
    </row>
    <row r="85" customFormat="false" ht="15" hidden="false" customHeight="false" outlineLevel="0" collapsed="false">
      <c r="A85" s="5" t="s">
        <v>1538</v>
      </c>
      <c r="B85" s="13" t="n">
        <v>186387</v>
      </c>
      <c r="C85" s="14" t="n">
        <v>0.598245580248816</v>
      </c>
      <c r="D85" s="6"/>
      <c r="E85" s="6"/>
    </row>
    <row r="86" customFormat="false" ht="15" hidden="false" customHeight="false" outlineLevel="0" collapsed="false">
      <c r="A86" s="5" t="s">
        <v>1539</v>
      </c>
      <c r="B86" s="13" t="n">
        <v>52341</v>
      </c>
      <c r="C86" s="14" t="n">
        <v>0.167998690444094</v>
      </c>
      <c r="D86" s="6"/>
      <c r="E86" s="6"/>
    </row>
    <row r="87" customFormat="false" ht="15" hidden="false" customHeight="false" outlineLevel="0" collapsed="false">
      <c r="A87" s="5" t="s">
        <v>1540</v>
      </c>
      <c r="B87" s="13" t="n">
        <v>34189</v>
      </c>
      <c r="C87" s="14" t="n">
        <v>0.109736291389028</v>
      </c>
      <c r="D87" s="6"/>
      <c r="E87" s="6"/>
    </row>
    <row r="88" customFormat="false" ht="15" hidden="false" customHeight="false" outlineLevel="0" collapsed="false">
      <c r="A88" s="5" t="s">
        <v>1541</v>
      </c>
      <c r="B88" s="13" t="n">
        <v>19903</v>
      </c>
      <c r="C88" s="14" t="n">
        <v>0.0638825764870521</v>
      </c>
      <c r="D88" s="6"/>
      <c r="E88" s="6"/>
    </row>
    <row r="89" customFormat="false" ht="15" hidden="false" customHeight="false" outlineLevel="0" collapsed="false">
      <c r="A89" s="5" t="s">
        <v>1542</v>
      </c>
      <c r="B89" s="13" t="n">
        <v>6429</v>
      </c>
      <c r="C89" s="14" t="n">
        <v>0.0206351346146439</v>
      </c>
      <c r="D89" s="6"/>
      <c r="E89" s="6"/>
    </row>
    <row r="90" customFormat="false" ht="15" hidden="false" customHeight="false" outlineLevel="0" collapsed="false">
      <c r="A90" s="5" t="s">
        <v>1543</v>
      </c>
      <c r="B90" s="13" t="n">
        <v>2663</v>
      </c>
      <c r="C90" s="14" t="n">
        <v>0.0085474200464764</v>
      </c>
      <c r="D90" s="6"/>
      <c r="E90" s="6"/>
    </row>
    <row r="91" customFormat="false" ht="15" hidden="false" customHeight="false" outlineLevel="0" collapsed="false">
      <c r="A91" s="5" t="s">
        <v>1544</v>
      </c>
      <c r="B91" s="13" t="n">
        <v>2523</v>
      </c>
      <c r="C91" s="14" t="n">
        <v>0.00809806262758541</v>
      </c>
      <c r="D91" s="6"/>
      <c r="E91" s="6"/>
    </row>
    <row r="92" customFormat="false" ht="15" hidden="false" customHeight="false" outlineLevel="0" collapsed="false">
      <c r="A92" s="5" t="s">
        <v>1545</v>
      </c>
      <c r="B92" s="13" t="n">
        <v>1816</v>
      </c>
      <c r="C92" s="14" t="n">
        <v>0.00582880766218593</v>
      </c>
      <c r="D92" s="6"/>
      <c r="E92" s="6"/>
    </row>
    <row r="93" customFormat="false" ht="15" hidden="false" customHeight="false" outlineLevel="0" collapsed="false">
      <c r="A93" s="5" t="s">
        <v>1546</v>
      </c>
      <c r="B93" s="13" t="n">
        <v>1656</v>
      </c>
      <c r="C93" s="14" t="n">
        <v>0.00531525632631052</v>
      </c>
      <c r="D93" s="6"/>
      <c r="E93" s="6"/>
    </row>
    <row r="94" customFormat="false" ht="15" hidden="false" customHeight="false" outlineLevel="0" collapsed="false">
      <c r="A94" s="5" t="s">
        <v>1547</v>
      </c>
      <c r="B94" s="13" t="n">
        <v>1135</v>
      </c>
      <c r="C94" s="14" t="n">
        <v>0.00364300478886621</v>
      </c>
      <c r="D94" s="6"/>
      <c r="E94" s="6"/>
    </row>
    <row r="95" customFormat="false" ht="15" hidden="false" customHeight="false" outlineLevel="0" collapsed="false">
      <c r="A95" s="5" t="s">
        <v>1548</v>
      </c>
      <c r="B95" s="13" t="n">
        <v>752</v>
      </c>
      <c r="C95" s="14" t="n">
        <v>0.00241369127861444</v>
      </c>
      <c r="D95" s="6"/>
      <c r="E95" s="6"/>
    </row>
    <row r="96" customFormat="false" ht="15" hidden="false" customHeight="false" outlineLevel="0" collapsed="false">
      <c r="A96" s="5" t="s">
        <v>1549</v>
      </c>
      <c r="B96" s="13" t="n">
        <v>731</v>
      </c>
      <c r="C96" s="14" t="n">
        <v>0.00234628766578079</v>
      </c>
      <c r="D96" s="6"/>
      <c r="E96" s="6"/>
    </row>
    <row r="97" customFormat="false" ht="15" hidden="false" customHeight="false" outlineLevel="0" collapsed="false">
      <c r="A97" s="5" t="s">
        <v>1550</v>
      </c>
      <c r="B97" s="13" t="n">
        <v>628</v>
      </c>
      <c r="C97" s="14" t="n">
        <v>0.00201568899331099</v>
      </c>
      <c r="D97" s="6"/>
      <c r="E97" s="6"/>
    </row>
    <row r="98" customFormat="false" ht="15" hidden="false" customHeight="false" outlineLevel="0" collapsed="false">
      <c r="A98" s="5" t="s">
        <v>1551</v>
      </c>
      <c r="B98" s="13" t="n">
        <v>214</v>
      </c>
      <c r="C98" s="14" t="n">
        <v>0.000686874911733364</v>
      </c>
      <c r="D98" s="6"/>
      <c r="E98" s="6"/>
    </row>
    <row r="99" customFormat="false" ht="15" hidden="false" customHeight="false" outlineLevel="0" collapsed="false">
      <c r="A99" s="5" t="s">
        <v>1552</v>
      </c>
      <c r="B99" s="13" t="n">
        <v>123</v>
      </c>
      <c r="C99" s="14" t="n">
        <v>0.000394792589454223</v>
      </c>
      <c r="D99" s="6"/>
      <c r="E99" s="6"/>
    </row>
    <row r="100" customFormat="false" ht="15" hidden="false" customHeight="false" outlineLevel="0" collapsed="false">
      <c r="A100" s="5" t="s">
        <v>1553</v>
      </c>
      <c r="B100" s="13" t="n">
        <v>38</v>
      </c>
      <c r="C100" s="14" t="n">
        <v>0.000121968442270411</v>
      </c>
      <c r="D100" s="6"/>
      <c r="E100" s="6"/>
    </row>
    <row r="101" customFormat="false" ht="15" hidden="false" customHeight="false" outlineLevel="0" collapsed="false">
      <c r="A101" s="5" t="s">
        <v>1554</v>
      </c>
      <c r="B101" s="13" t="n">
        <v>28</v>
      </c>
      <c r="C101" s="14" t="n">
        <v>8.98714837781972E-005</v>
      </c>
      <c r="D101" s="6"/>
      <c r="E101" s="6"/>
    </row>
    <row r="102" customFormat="false" ht="15" hidden="false" customHeight="false" outlineLevel="0" collapsed="false">
      <c r="A102" s="6"/>
      <c r="B102" s="6"/>
      <c r="C102" s="6"/>
      <c r="D102" s="6"/>
      <c r="E102" s="6"/>
    </row>
    <row r="103" customFormat="false" ht="15" hidden="false" customHeight="false" outlineLevel="0" collapsed="false">
      <c r="A103" s="8" t="s">
        <v>1555</v>
      </c>
      <c r="B103" s="6"/>
      <c r="C103" s="6"/>
      <c r="D103" s="6"/>
      <c r="E103" s="6"/>
    </row>
    <row r="104" customFormat="false" ht="15" hidden="false" customHeight="false" outlineLevel="0" collapsed="false">
      <c r="A104" s="8" t="s">
        <v>1556</v>
      </c>
      <c r="B104" s="6"/>
      <c r="C104" s="6"/>
      <c r="D104" s="6"/>
      <c r="E104" s="6"/>
    </row>
    <row r="105" customFormat="false" ht="15" hidden="false" customHeight="false" outlineLevel="0" collapsed="false">
      <c r="A105" s="8" t="s">
        <v>1557</v>
      </c>
      <c r="B105" s="6"/>
      <c r="C105" s="6"/>
      <c r="D105" s="6"/>
      <c r="E105" s="6"/>
    </row>
  </sheetData>
  <autoFilter ref="A84:C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20"/>
    <col collapsed="false" customWidth="true" hidden="false" outlineLevel="0" max="4" min="4" style="0" width="12"/>
    <col collapsed="false" customWidth="true" hidden="false" outlineLevel="0" max="5" min="5" style="0" width="50"/>
    <col collapsed="false" customWidth="true" hidden="false" outlineLevel="0" max="7" min="6" style="0" width="14"/>
    <col collapsed="false" customWidth="true" hidden="false" outlineLevel="0" max="8" min="8" style="0" width="10"/>
  </cols>
  <sheetData>
    <row r="1" customFormat="false" ht="35.05" hidden="false" customHeight="false" outlineLevel="0" collapsed="false">
      <c r="A1" s="4" t="s">
        <v>1558</v>
      </c>
      <c r="B1" s="4" t="s">
        <v>1559</v>
      </c>
      <c r="C1" s="4" t="s">
        <v>1560</v>
      </c>
      <c r="D1" s="4" t="s">
        <v>1561</v>
      </c>
      <c r="E1" s="4" t="s">
        <v>1562</v>
      </c>
      <c r="F1" s="4" t="s">
        <v>1563</v>
      </c>
      <c r="G1" s="4" t="s">
        <v>1564</v>
      </c>
      <c r="H1" s="4" t="s">
        <v>1565</v>
      </c>
    </row>
    <row r="2" customFormat="false" ht="15" hidden="false" customHeight="false" outlineLevel="0" collapsed="false">
      <c r="A2" s="5" t="s">
        <v>1566</v>
      </c>
      <c r="B2" s="5" t="s">
        <v>1567</v>
      </c>
      <c r="C2" s="5" t="s">
        <v>1568</v>
      </c>
      <c r="D2" s="5" t="n">
        <v>1</v>
      </c>
      <c r="E2" s="5" t="s">
        <v>127</v>
      </c>
      <c r="F2" s="5" t="n">
        <v>31</v>
      </c>
      <c r="G2" s="5" t="n">
        <v>52287.12</v>
      </c>
      <c r="H2" s="5" t="s">
        <v>52</v>
      </c>
    </row>
    <row r="3" customFormat="false" ht="15" hidden="false" customHeight="false" outlineLevel="0" collapsed="false">
      <c r="A3" s="5" t="s">
        <v>1569</v>
      </c>
      <c r="B3" s="5" t="s">
        <v>1567</v>
      </c>
      <c r="C3" s="5" t="s">
        <v>1568</v>
      </c>
      <c r="D3" s="5" t="n">
        <v>1</v>
      </c>
      <c r="E3" s="5" t="s">
        <v>839</v>
      </c>
      <c r="F3" s="5" t="n">
        <v>80</v>
      </c>
      <c r="G3" s="5" t="n">
        <v>20261.26</v>
      </c>
      <c r="H3" s="5" t="s">
        <v>68</v>
      </c>
    </row>
    <row r="4" customFormat="false" ht="15" hidden="false" customHeight="false" outlineLevel="0" collapsed="false">
      <c r="A4" s="5" t="s">
        <v>1570</v>
      </c>
      <c r="B4" s="5" t="s">
        <v>1567</v>
      </c>
      <c r="C4" s="5" t="s">
        <v>1568</v>
      </c>
      <c r="D4" s="5" t="n">
        <v>1</v>
      </c>
      <c r="E4" s="5" t="s">
        <v>1571</v>
      </c>
      <c r="F4" s="5" t="n">
        <v>120</v>
      </c>
      <c r="G4" s="5" t="n">
        <v>13507.51</v>
      </c>
      <c r="H4" s="5" t="s">
        <v>52</v>
      </c>
    </row>
    <row r="5" customFormat="false" ht="15" hidden="false" customHeight="false" outlineLevel="0" collapsed="false">
      <c r="A5" s="5" t="s">
        <v>1572</v>
      </c>
      <c r="B5" s="5" t="s">
        <v>1567</v>
      </c>
      <c r="C5" s="5" t="s">
        <v>69</v>
      </c>
      <c r="D5" s="5" t="n">
        <v>2</v>
      </c>
      <c r="E5" s="5" t="s">
        <v>1573</v>
      </c>
      <c r="F5" s="5" t="n">
        <v>354</v>
      </c>
      <c r="G5" s="5" t="n">
        <v>9157.63</v>
      </c>
      <c r="H5" s="5" t="s">
        <v>52</v>
      </c>
    </row>
    <row r="6" customFormat="false" ht="15" hidden="false" customHeight="false" outlineLevel="0" collapsed="false">
      <c r="A6" s="5" t="s">
        <v>1574</v>
      </c>
      <c r="B6" s="5" t="s">
        <v>1567</v>
      </c>
      <c r="C6" s="5" t="s">
        <v>1568</v>
      </c>
      <c r="D6" s="5" t="n">
        <v>1</v>
      </c>
      <c r="E6" s="5" t="s">
        <v>127</v>
      </c>
      <c r="F6" s="5" t="n">
        <v>213</v>
      </c>
      <c r="G6" s="5" t="n">
        <v>7609.86</v>
      </c>
      <c r="H6" s="5" t="s">
        <v>68</v>
      </c>
    </row>
    <row r="7" customFormat="false" ht="15" hidden="false" customHeight="false" outlineLevel="0" collapsed="false">
      <c r="A7" s="5" t="s">
        <v>1575</v>
      </c>
      <c r="B7" s="5" t="s">
        <v>1567</v>
      </c>
      <c r="C7" s="5" t="s">
        <v>1568</v>
      </c>
      <c r="D7" s="5" t="n">
        <v>1</v>
      </c>
      <c r="E7" s="5" t="s">
        <v>839</v>
      </c>
      <c r="F7" s="5" t="n">
        <v>320</v>
      </c>
      <c r="G7" s="5" t="n">
        <v>5065.32</v>
      </c>
      <c r="H7" s="5" t="s">
        <v>52</v>
      </c>
    </row>
    <row r="8" customFormat="false" ht="15" hidden="false" customHeight="false" outlineLevel="0" collapsed="false">
      <c r="A8" s="5" t="s">
        <v>1576</v>
      </c>
      <c r="B8" s="5" t="s">
        <v>1567</v>
      </c>
      <c r="C8" s="5" t="s">
        <v>69</v>
      </c>
      <c r="D8" s="5" t="n">
        <v>2</v>
      </c>
      <c r="E8" s="5" t="s">
        <v>1577</v>
      </c>
      <c r="F8" s="5" t="n">
        <v>691</v>
      </c>
      <c r="G8" s="5" t="n">
        <v>4691.46</v>
      </c>
      <c r="H8" s="5" t="s">
        <v>52</v>
      </c>
    </row>
    <row r="9" customFormat="false" ht="15" hidden="false" customHeight="false" outlineLevel="0" collapsed="false">
      <c r="A9" s="5" t="s">
        <v>1578</v>
      </c>
      <c r="B9" s="5" t="s">
        <v>1567</v>
      </c>
      <c r="C9" s="5" t="s">
        <v>69</v>
      </c>
      <c r="D9" s="5" t="n">
        <v>2</v>
      </c>
      <c r="E9" s="5" t="s">
        <v>1579</v>
      </c>
      <c r="F9" s="5" t="n">
        <v>761</v>
      </c>
      <c r="G9" s="5" t="n">
        <v>4259.92</v>
      </c>
      <c r="H9" s="5" t="s">
        <v>52</v>
      </c>
    </row>
    <row r="10" customFormat="false" ht="15" hidden="false" customHeight="false" outlineLevel="0" collapsed="false">
      <c r="A10" s="5" t="s">
        <v>1580</v>
      </c>
      <c r="B10" s="5" t="s">
        <v>1581</v>
      </c>
      <c r="C10" s="5" t="s">
        <v>69</v>
      </c>
      <c r="D10" s="5" t="n">
        <v>3</v>
      </c>
      <c r="E10" s="5" t="s">
        <v>1577</v>
      </c>
      <c r="F10" s="5" t="n">
        <v>1145</v>
      </c>
      <c r="G10" s="5" t="n">
        <v>4246.9</v>
      </c>
      <c r="H10" s="5" t="s">
        <v>68</v>
      </c>
    </row>
    <row r="11" customFormat="false" ht="15" hidden="false" customHeight="false" outlineLevel="0" collapsed="false">
      <c r="A11" s="5" t="s">
        <v>1582</v>
      </c>
      <c r="B11" s="5" t="s">
        <v>1567</v>
      </c>
      <c r="C11" s="5" t="s">
        <v>1568</v>
      </c>
      <c r="D11" s="5" t="n">
        <v>1</v>
      </c>
      <c r="E11" s="5" t="s">
        <v>519</v>
      </c>
      <c r="F11" s="5" t="n">
        <v>578</v>
      </c>
      <c r="G11" s="5" t="n">
        <v>2804.33</v>
      </c>
      <c r="H11" s="5" t="s">
        <v>52</v>
      </c>
    </row>
    <row r="12" customFormat="false" ht="15" hidden="false" customHeight="false" outlineLevel="0" collapsed="false">
      <c r="A12" s="5" t="s">
        <v>1583</v>
      </c>
      <c r="B12" s="5" t="s">
        <v>1567</v>
      </c>
      <c r="C12" s="5" t="s">
        <v>69</v>
      </c>
      <c r="D12" s="5" t="n">
        <v>2</v>
      </c>
      <c r="E12" s="5" t="s">
        <v>634</v>
      </c>
      <c r="F12" s="5" t="n">
        <v>1401</v>
      </c>
      <c r="G12" s="5" t="n">
        <v>2313.92</v>
      </c>
      <c r="H12" s="5" t="s">
        <v>52</v>
      </c>
    </row>
    <row r="13" customFormat="false" ht="15" hidden="false" customHeight="false" outlineLevel="0" collapsed="false">
      <c r="A13" s="5" t="s">
        <v>1584</v>
      </c>
      <c r="B13" s="5" t="s">
        <v>1567</v>
      </c>
      <c r="C13" s="5" t="s">
        <v>69</v>
      </c>
      <c r="D13" s="5" t="n">
        <v>2</v>
      </c>
      <c r="E13" s="5" t="s">
        <v>1585</v>
      </c>
      <c r="F13" s="5" t="n">
        <v>1600</v>
      </c>
      <c r="G13" s="5" t="n">
        <v>2026.13</v>
      </c>
      <c r="H13" s="5" t="s">
        <v>52</v>
      </c>
    </row>
    <row r="14" customFormat="false" ht="15" hidden="false" customHeight="false" outlineLevel="0" collapsed="false">
      <c r="A14" s="5" t="s">
        <v>1586</v>
      </c>
      <c r="B14" s="5" t="s">
        <v>1567</v>
      </c>
      <c r="C14" s="5" t="s">
        <v>1568</v>
      </c>
      <c r="D14" s="5" t="n">
        <v>1</v>
      </c>
      <c r="E14" s="5" t="s">
        <v>634</v>
      </c>
      <c r="F14" s="5" t="n">
        <v>995</v>
      </c>
      <c r="G14" s="5" t="n">
        <v>1629.05</v>
      </c>
      <c r="H14" s="5" t="s">
        <v>68</v>
      </c>
    </row>
    <row r="15" customFormat="false" ht="15" hidden="false" customHeight="false" outlineLevel="0" collapsed="false">
      <c r="A15" s="5" t="s">
        <v>1587</v>
      </c>
      <c r="B15" s="5" t="s">
        <v>1567</v>
      </c>
      <c r="C15" s="5" t="s">
        <v>1568</v>
      </c>
      <c r="D15" s="5" t="n">
        <v>1</v>
      </c>
      <c r="E15" s="5" t="s">
        <v>45</v>
      </c>
      <c r="F15" s="5" t="n">
        <v>1061</v>
      </c>
      <c r="G15" s="5" t="n">
        <v>1527.71</v>
      </c>
      <c r="H15" s="5" t="s">
        <v>52</v>
      </c>
    </row>
    <row r="16" customFormat="false" ht="15" hidden="false" customHeight="false" outlineLevel="0" collapsed="false">
      <c r="A16" s="5" t="s">
        <v>1588</v>
      </c>
      <c r="B16" s="5" t="s">
        <v>1567</v>
      </c>
      <c r="C16" s="5" t="s">
        <v>1568</v>
      </c>
      <c r="D16" s="5" t="n">
        <v>1</v>
      </c>
      <c r="E16" s="5" t="s">
        <v>562</v>
      </c>
      <c r="F16" s="5" t="n">
        <v>1418</v>
      </c>
      <c r="G16" s="5" t="n">
        <v>1143.09</v>
      </c>
      <c r="H16" s="5" t="s">
        <v>68</v>
      </c>
    </row>
    <row r="17" customFormat="false" ht="15" hidden="false" customHeight="false" outlineLevel="0" collapsed="false">
      <c r="A17" s="5" t="s">
        <v>1589</v>
      </c>
      <c r="B17" s="5" t="s">
        <v>1581</v>
      </c>
      <c r="C17" s="5" t="s">
        <v>1590</v>
      </c>
      <c r="D17" s="5" t="n">
        <v>7</v>
      </c>
      <c r="E17" s="5" t="s">
        <v>1591</v>
      </c>
      <c r="F17" s="5" t="n">
        <v>10583</v>
      </c>
      <c r="G17" s="5" t="n">
        <v>1072.13</v>
      </c>
      <c r="H17" s="5" t="s">
        <v>68</v>
      </c>
    </row>
    <row r="18" customFormat="false" ht="15" hidden="false" customHeight="false" outlineLevel="0" collapsed="false">
      <c r="A18" s="5" t="s">
        <v>1592</v>
      </c>
      <c r="B18" s="5" t="s">
        <v>1581</v>
      </c>
      <c r="C18" s="5" t="s">
        <v>69</v>
      </c>
      <c r="D18" s="5" t="n">
        <v>2</v>
      </c>
      <c r="E18" s="5" t="s">
        <v>1593</v>
      </c>
      <c r="F18" s="5" t="n">
        <v>3174</v>
      </c>
      <c r="G18" s="5" t="n">
        <v>1021.36</v>
      </c>
      <c r="H18" s="5" t="s">
        <v>68</v>
      </c>
    </row>
    <row r="19" customFormat="false" ht="15" hidden="false" customHeight="false" outlineLevel="0" collapsed="false">
      <c r="A19" s="5" t="s">
        <v>1594</v>
      </c>
      <c r="B19" s="5" t="s">
        <v>1567</v>
      </c>
      <c r="C19" s="5" t="s">
        <v>1568</v>
      </c>
      <c r="D19" s="5" t="n">
        <v>1</v>
      </c>
      <c r="E19" s="5" t="s">
        <v>519</v>
      </c>
      <c r="F19" s="5" t="n">
        <v>1784</v>
      </c>
      <c r="G19" s="5" t="n">
        <v>908.58</v>
      </c>
      <c r="H19" s="5" t="s">
        <v>52</v>
      </c>
    </row>
    <row r="20" customFormat="false" ht="15" hidden="false" customHeight="false" outlineLevel="0" collapsed="false">
      <c r="A20" s="5" t="s">
        <v>1595</v>
      </c>
      <c r="B20" s="5" t="s">
        <v>1567</v>
      </c>
      <c r="C20" s="5" t="s">
        <v>1568</v>
      </c>
      <c r="D20" s="5" t="n">
        <v>1</v>
      </c>
      <c r="E20" s="5" t="s">
        <v>1596</v>
      </c>
      <c r="F20" s="5" t="n">
        <v>1861</v>
      </c>
      <c r="G20" s="5" t="n">
        <v>870.98</v>
      </c>
      <c r="H20" s="5" t="s">
        <v>68</v>
      </c>
    </row>
    <row r="21" customFormat="false" ht="15" hidden="false" customHeight="false" outlineLevel="0" collapsed="false">
      <c r="A21" s="5" t="s">
        <v>1597</v>
      </c>
      <c r="B21" s="5" t="s">
        <v>1581</v>
      </c>
      <c r="C21" s="5" t="s">
        <v>69</v>
      </c>
      <c r="D21" s="5" t="n">
        <v>2</v>
      </c>
      <c r="E21" s="5" t="s">
        <v>634</v>
      </c>
      <c r="F21" s="5" t="n">
        <v>3725</v>
      </c>
      <c r="G21" s="5" t="n">
        <v>870.28</v>
      </c>
      <c r="H21" s="5" t="s">
        <v>68</v>
      </c>
    </row>
    <row r="22" customFormat="false" ht="15" hidden="false" customHeight="false" outlineLevel="0" collapsed="false">
      <c r="A22" s="5" t="s">
        <v>1598</v>
      </c>
      <c r="B22" s="5" t="s">
        <v>1581</v>
      </c>
      <c r="C22" s="5" t="s">
        <v>1590</v>
      </c>
      <c r="D22" s="5" t="n">
        <v>3</v>
      </c>
      <c r="E22" s="5" t="s">
        <v>1599</v>
      </c>
      <c r="F22" s="5" t="n">
        <v>6185</v>
      </c>
      <c r="G22" s="5" t="n">
        <v>786.21</v>
      </c>
      <c r="H22" s="5" t="s">
        <v>68</v>
      </c>
    </row>
    <row r="23" customFormat="false" ht="15" hidden="false" customHeight="false" outlineLevel="0" collapsed="false">
      <c r="A23" s="5" t="s">
        <v>1600</v>
      </c>
      <c r="B23" s="5" t="s">
        <v>1567</v>
      </c>
      <c r="C23" s="5" t="s">
        <v>69</v>
      </c>
      <c r="D23" s="5" t="n">
        <v>2</v>
      </c>
      <c r="E23" s="5" t="s">
        <v>1601</v>
      </c>
      <c r="F23" s="5" t="n">
        <v>4953</v>
      </c>
      <c r="G23" s="5" t="n">
        <v>654.51</v>
      </c>
      <c r="H23" s="5" t="s">
        <v>52</v>
      </c>
    </row>
    <row r="24" customFormat="false" ht="15" hidden="false" customHeight="false" outlineLevel="0" collapsed="false">
      <c r="A24" s="5" t="s">
        <v>1602</v>
      </c>
      <c r="B24" s="5" t="s">
        <v>1581</v>
      </c>
      <c r="C24" s="5" t="s">
        <v>1568</v>
      </c>
      <c r="D24" s="5" t="n">
        <v>1</v>
      </c>
      <c r="E24" s="5" t="s">
        <v>1596</v>
      </c>
      <c r="F24" s="5" t="n">
        <v>2694</v>
      </c>
      <c r="G24" s="5" t="n">
        <v>601.67</v>
      </c>
      <c r="H24" s="5" t="s">
        <v>68</v>
      </c>
    </row>
    <row r="25" customFormat="false" ht="15" hidden="false" customHeight="false" outlineLevel="0" collapsed="false">
      <c r="A25" s="5" t="s">
        <v>1603</v>
      </c>
      <c r="B25" s="5" t="s">
        <v>1567</v>
      </c>
      <c r="C25" s="5" t="s">
        <v>1590</v>
      </c>
      <c r="D25" s="5" t="n">
        <v>4</v>
      </c>
      <c r="E25" s="5" t="s">
        <v>1604</v>
      </c>
      <c r="F25" s="5" t="n">
        <v>14306</v>
      </c>
      <c r="G25" s="5" t="n">
        <v>453.21</v>
      </c>
      <c r="H25" s="5" t="s">
        <v>52</v>
      </c>
    </row>
    <row r="26" customFormat="false" ht="15" hidden="false" customHeight="false" outlineLevel="0" collapsed="false">
      <c r="A26" s="5" t="s">
        <v>1605</v>
      </c>
      <c r="B26" s="5" t="s">
        <v>1567</v>
      </c>
      <c r="C26" s="5" t="s">
        <v>69</v>
      </c>
      <c r="D26" s="5" t="n">
        <v>2</v>
      </c>
      <c r="E26" s="5" t="s">
        <v>1599</v>
      </c>
      <c r="F26" s="5" t="n">
        <v>7407</v>
      </c>
      <c r="G26" s="5" t="n">
        <v>437.67</v>
      </c>
      <c r="H26" s="5" t="s">
        <v>52</v>
      </c>
    </row>
    <row r="27" customFormat="false" ht="15" hidden="false" customHeight="false" outlineLevel="0" collapsed="false">
      <c r="A27" s="5" t="s">
        <v>1606</v>
      </c>
      <c r="B27" s="5" t="s">
        <v>1567</v>
      </c>
      <c r="C27" s="5" t="s">
        <v>1568</v>
      </c>
      <c r="D27" s="5" t="n">
        <v>1</v>
      </c>
      <c r="E27" s="5" t="s">
        <v>1607</v>
      </c>
      <c r="F27" s="5" t="n">
        <v>4382</v>
      </c>
      <c r="G27" s="5" t="n">
        <v>369.9</v>
      </c>
      <c r="H27" s="5" t="s">
        <v>52</v>
      </c>
    </row>
    <row r="28" customFormat="false" ht="15" hidden="false" customHeight="false" outlineLevel="0" collapsed="false">
      <c r="A28" s="5" t="s">
        <v>1608</v>
      </c>
      <c r="B28" s="5" t="s">
        <v>1567</v>
      </c>
      <c r="C28" s="5" t="s">
        <v>1590</v>
      </c>
      <c r="D28" s="5" t="n">
        <v>2</v>
      </c>
      <c r="E28" s="5" t="s">
        <v>1609</v>
      </c>
      <c r="F28" s="5" t="n">
        <v>9071</v>
      </c>
      <c r="G28" s="5" t="n">
        <v>357.38</v>
      </c>
      <c r="H28" s="5" t="s">
        <v>68</v>
      </c>
    </row>
    <row r="29" customFormat="false" ht="15" hidden="false" customHeight="false" outlineLevel="0" collapsed="false">
      <c r="A29" s="5" t="s">
        <v>1610</v>
      </c>
      <c r="B29" s="5" t="s">
        <v>1581</v>
      </c>
      <c r="C29" s="5" t="s">
        <v>69</v>
      </c>
      <c r="D29" s="5" t="n">
        <v>4</v>
      </c>
      <c r="E29" s="5" t="s">
        <v>1604</v>
      </c>
      <c r="F29" s="5" t="n">
        <v>23598</v>
      </c>
      <c r="G29" s="5" t="n">
        <v>274.75</v>
      </c>
      <c r="H29" s="5" t="s">
        <v>68</v>
      </c>
    </row>
    <row r="30" customFormat="false" ht="15" hidden="false" customHeight="false" outlineLevel="0" collapsed="false">
      <c r="A30" s="5" t="s">
        <v>1611</v>
      </c>
      <c r="B30" s="5" t="s">
        <v>1581</v>
      </c>
      <c r="C30" s="5" t="s">
        <v>1590</v>
      </c>
      <c r="D30" s="5" t="n">
        <v>2</v>
      </c>
      <c r="E30" s="5" t="s">
        <v>1612</v>
      </c>
      <c r="F30" s="5" t="n">
        <v>14679</v>
      </c>
      <c r="G30" s="5" t="n">
        <v>220.85</v>
      </c>
      <c r="H30" s="5" t="s">
        <v>68</v>
      </c>
    </row>
    <row r="31" customFormat="false" ht="15" hidden="false" customHeight="false" outlineLevel="0" collapsed="false">
      <c r="A31" s="5" t="s">
        <v>1613</v>
      </c>
      <c r="B31" s="5" t="s">
        <v>1581</v>
      </c>
      <c r="C31" s="5" t="s">
        <v>69</v>
      </c>
      <c r="D31" s="5" t="n">
        <v>4</v>
      </c>
      <c r="E31" s="5" t="s">
        <v>1614</v>
      </c>
      <c r="F31" s="5" t="n">
        <v>33212</v>
      </c>
      <c r="G31" s="5" t="n">
        <v>195.22</v>
      </c>
      <c r="H31" s="5" t="s">
        <v>68</v>
      </c>
    </row>
    <row r="32" customFormat="false" ht="22.35" hidden="false" customHeight="false" outlineLevel="0" collapsed="false">
      <c r="A32" s="5" t="s">
        <v>1615</v>
      </c>
      <c r="B32" s="5" t="s">
        <v>1581</v>
      </c>
      <c r="C32" s="5" t="s">
        <v>69</v>
      </c>
      <c r="D32" s="5" t="n">
        <v>9</v>
      </c>
      <c r="E32" s="5" t="s">
        <v>1616</v>
      </c>
      <c r="F32" s="5" t="n">
        <v>76579</v>
      </c>
      <c r="G32" s="5" t="n">
        <v>190.5</v>
      </c>
      <c r="H32" s="5" t="s">
        <v>68</v>
      </c>
    </row>
    <row r="33" customFormat="false" ht="15" hidden="false" customHeight="false" outlineLevel="0" collapsed="false">
      <c r="A33" s="5" t="s">
        <v>1617</v>
      </c>
      <c r="B33" s="5" t="s">
        <v>1581</v>
      </c>
      <c r="C33" s="5" t="s">
        <v>69</v>
      </c>
      <c r="D33" s="5" t="n">
        <v>4</v>
      </c>
      <c r="E33" s="5" t="s">
        <v>1618</v>
      </c>
      <c r="F33" s="5" t="n">
        <v>34723</v>
      </c>
      <c r="G33" s="5" t="n">
        <v>186.72</v>
      </c>
      <c r="H33" s="5" t="s">
        <v>68</v>
      </c>
    </row>
    <row r="34" customFormat="false" ht="15" hidden="false" customHeight="false" outlineLevel="0" collapsed="false">
      <c r="A34" s="5" t="s">
        <v>1619</v>
      </c>
      <c r="B34" s="5" t="s">
        <v>1581</v>
      </c>
      <c r="C34" s="5" t="s">
        <v>1568</v>
      </c>
      <c r="D34" s="5" t="n">
        <v>1</v>
      </c>
      <c r="E34" s="5" t="s">
        <v>1571</v>
      </c>
      <c r="F34" s="5" t="n">
        <v>9172</v>
      </c>
      <c r="G34" s="5" t="n">
        <v>176.72</v>
      </c>
      <c r="H34" s="5" t="s">
        <v>68</v>
      </c>
    </row>
    <row r="35" customFormat="false" ht="15" hidden="false" customHeight="false" outlineLevel="0" collapsed="false">
      <c r="A35" s="5" t="s">
        <v>1620</v>
      </c>
      <c r="B35" s="5" t="s">
        <v>1581</v>
      </c>
      <c r="C35" s="5" t="s">
        <v>69</v>
      </c>
      <c r="D35" s="5" t="n">
        <v>2</v>
      </c>
      <c r="E35" s="5" t="s">
        <v>1573</v>
      </c>
      <c r="F35" s="5" t="n">
        <v>19084</v>
      </c>
      <c r="G35" s="5" t="n">
        <v>169.87</v>
      </c>
      <c r="H35" s="5" t="s">
        <v>68</v>
      </c>
    </row>
    <row r="36" customFormat="false" ht="15" hidden="false" customHeight="false" outlineLevel="0" collapsed="false">
      <c r="A36" s="5" t="s">
        <v>1621</v>
      </c>
      <c r="B36" s="5" t="s">
        <v>1581</v>
      </c>
      <c r="C36" s="5" t="s">
        <v>69</v>
      </c>
      <c r="D36" s="5" t="n">
        <v>2</v>
      </c>
      <c r="E36" s="5" t="s">
        <v>1573</v>
      </c>
      <c r="F36" s="5" t="n">
        <v>20273</v>
      </c>
      <c r="G36" s="5" t="n">
        <v>159.91</v>
      </c>
      <c r="H36" s="5" t="s">
        <v>68</v>
      </c>
    </row>
    <row r="37" customFormat="false" ht="15" hidden="false" customHeight="false" outlineLevel="0" collapsed="false">
      <c r="A37" s="5" t="s">
        <v>1622</v>
      </c>
      <c r="B37" s="5" t="s">
        <v>1581</v>
      </c>
      <c r="C37" s="5" t="s">
        <v>69</v>
      </c>
      <c r="D37" s="5" t="n">
        <v>5</v>
      </c>
      <c r="E37" s="5" t="s">
        <v>1623</v>
      </c>
      <c r="F37" s="5" t="n">
        <v>53053</v>
      </c>
      <c r="G37" s="5" t="n">
        <v>152.76</v>
      </c>
      <c r="H37" s="5" t="s">
        <v>68</v>
      </c>
    </row>
    <row r="38" customFormat="false" ht="15" hidden="false" customHeight="false" outlineLevel="0" collapsed="false">
      <c r="A38" s="5" t="s">
        <v>1624</v>
      </c>
      <c r="B38" s="5" t="s">
        <v>1567</v>
      </c>
      <c r="C38" s="5" t="s">
        <v>1590</v>
      </c>
      <c r="D38" s="5" t="n">
        <v>3</v>
      </c>
      <c r="E38" s="5" t="s">
        <v>1625</v>
      </c>
      <c r="F38" s="5" t="n">
        <v>31858</v>
      </c>
      <c r="G38" s="5" t="n">
        <v>152.64</v>
      </c>
      <c r="H38" s="5" t="s">
        <v>68</v>
      </c>
    </row>
    <row r="39" customFormat="false" ht="15" hidden="false" customHeight="false" outlineLevel="0" collapsed="false">
      <c r="A39" s="5" t="s">
        <v>1626</v>
      </c>
      <c r="B39" s="5" t="s">
        <v>1567</v>
      </c>
      <c r="C39" s="5" t="s">
        <v>1590</v>
      </c>
      <c r="D39" s="5" t="n">
        <v>2</v>
      </c>
      <c r="E39" s="5" t="s">
        <v>1601</v>
      </c>
      <c r="F39" s="5" t="n">
        <v>21421</v>
      </c>
      <c r="G39" s="5" t="n">
        <v>151.34</v>
      </c>
      <c r="H39" s="5" t="s">
        <v>52</v>
      </c>
    </row>
    <row r="40" customFormat="false" ht="15" hidden="false" customHeight="false" outlineLevel="0" collapsed="false">
      <c r="A40" s="5" t="s">
        <v>1627</v>
      </c>
      <c r="B40" s="5" t="s">
        <v>1581</v>
      </c>
      <c r="C40" s="5" t="s">
        <v>1590</v>
      </c>
      <c r="D40" s="5" t="n">
        <v>2</v>
      </c>
      <c r="E40" s="5" t="s">
        <v>1573</v>
      </c>
      <c r="F40" s="5" t="n">
        <v>22267</v>
      </c>
      <c r="G40" s="5" t="n">
        <v>145.59</v>
      </c>
      <c r="H40" s="5" t="s">
        <v>68</v>
      </c>
    </row>
    <row r="41" customFormat="false" ht="15" hidden="false" customHeight="false" outlineLevel="0" collapsed="false">
      <c r="A41" s="5" t="s">
        <v>1628</v>
      </c>
      <c r="B41" s="5" t="s">
        <v>1581</v>
      </c>
      <c r="C41" s="5" t="s">
        <v>69</v>
      </c>
      <c r="D41" s="5" t="n">
        <v>2</v>
      </c>
      <c r="E41" s="5" t="s">
        <v>1629</v>
      </c>
      <c r="F41" s="5" t="n">
        <v>24559</v>
      </c>
      <c r="G41" s="5" t="n">
        <v>132</v>
      </c>
      <c r="H41" s="5" t="s">
        <v>68</v>
      </c>
    </row>
    <row r="42" customFormat="false" ht="22.35" hidden="false" customHeight="false" outlineLevel="0" collapsed="false">
      <c r="A42" s="5" t="s">
        <v>1630</v>
      </c>
      <c r="B42" s="5" t="s">
        <v>1581</v>
      </c>
      <c r="C42" s="5" t="s">
        <v>69</v>
      </c>
      <c r="D42" s="5" t="n">
        <v>3</v>
      </c>
      <c r="E42" s="5" t="s">
        <v>1631</v>
      </c>
      <c r="F42" s="5" t="n">
        <v>39303</v>
      </c>
      <c r="G42" s="5" t="n">
        <v>123.72</v>
      </c>
      <c r="H42" s="5" t="s">
        <v>68</v>
      </c>
    </row>
    <row r="43" customFormat="false" ht="15" hidden="false" customHeight="false" outlineLevel="0" collapsed="false">
      <c r="A43" s="5" t="s">
        <v>1632</v>
      </c>
      <c r="B43" s="5" t="s">
        <v>1581</v>
      </c>
      <c r="C43" s="5" t="s">
        <v>69</v>
      </c>
      <c r="D43" s="5" t="n">
        <v>3</v>
      </c>
      <c r="E43" s="5" t="s">
        <v>1633</v>
      </c>
      <c r="F43" s="5" t="n">
        <v>46774</v>
      </c>
      <c r="G43" s="5" t="n">
        <v>103.96</v>
      </c>
      <c r="H43" s="5" t="s">
        <v>68</v>
      </c>
    </row>
    <row r="44" customFormat="false" ht="15" hidden="false" customHeight="false" outlineLevel="0" collapsed="false">
      <c r="A44" s="5" t="s">
        <v>1634</v>
      </c>
      <c r="B44" s="5" t="s">
        <v>1581</v>
      </c>
      <c r="C44" s="5" t="s">
        <v>69</v>
      </c>
      <c r="D44" s="5" t="n">
        <v>5</v>
      </c>
      <c r="E44" s="5" t="s">
        <v>1635</v>
      </c>
      <c r="F44" s="5" t="n">
        <v>80591</v>
      </c>
      <c r="G44" s="5" t="n">
        <v>100.56</v>
      </c>
      <c r="H44" s="5" t="s">
        <v>68</v>
      </c>
    </row>
    <row r="45" customFormat="false" ht="22.35" hidden="false" customHeight="false" outlineLevel="0" collapsed="false">
      <c r="A45" s="5" t="s">
        <v>1636</v>
      </c>
      <c r="B45" s="5" t="s">
        <v>1567</v>
      </c>
      <c r="C45" s="5" t="s">
        <v>1590</v>
      </c>
      <c r="D45" s="5" t="n">
        <v>7</v>
      </c>
      <c r="E45" s="5" t="s">
        <v>1637</v>
      </c>
      <c r="F45" s="5" t="n">
        <v>117367</v>
      </c>
      <c r="G45" s="5" t="n">
        <v>96.67</v>
      </c>
      <c r="H45" s="5" t="s">
        <v>52</v>
      </c>
    </row>
    <row r="46" customFormat="false" ht="15" hidden="false" customHeight="false" outlineLevel="0" collapsed="false">
      <c r="A46" s="5" t="s">
        <v>1638</v>
      </c>
      <c r="B46" s="5" t="s">
        <v>1581</v>
      </c>
      <c r="C46" s="5" t="s">
        <v>69</v>
      </c>
      <c r="D46" s="5" t="n">
        <v>2</v>
      </c>
      <c r="E46" s="5" t="s">
        <v>1639</v>
      </c>
      <c r="F46" s="5" t="n">
        <v>50268</v>
      </c>
      <c r="G46" s="5" t="n">
        <v>64.49</v>
      </c>
      <c r="H46" s="5" t="s">
        <v>52</v>
      </c>
    </row>
    <row r="47" customFormat="false" ht="15" hidden="false" customHeight="false" outlineLevel="0" collapsed="false">
      <c r="A47" s="5" t="s">
        <v>1640</v>
      </c>
      <c r="B47" s="5" t="s">
        <v>1581</v>
      </c>
      <c r="C47" s="5" t="s">
        <v>69</v>
      </c>
      <c r="D47" s="5" t="n">
        <v>3</v>
      </c>
      <c r="E47" s="5" t="s">
        <v>1641</v>
      </c>
      <c r="F47" s="5" t="n">
        <v>78510</v>
      </c>
      <c r="G47" s="5" t="n">
        <v>61.94</v>
      </c>
      <c r="H47" s="5" t="s">
        <v>52</v>
      </c>
    </row>
    <row r="48" customFormat="false" ht="15" hidden="false" customHeight="false" outlineLevel="0" collapsed="false">
      <c r="A48" s="5" t="s">
        <v>1642</v>
      </c>
      <c r="B48" s="5" t="s">
        <v>1581</v>
      </c>
      <c r="C48" s="5" t="s">
        <v>69</v>
      </c>
      <c r="D48" s="5" t="n">
        <v>2</v>
      </c>
      <c r="E48" s="5" t="s">
        <v>1643</v>
      </c>
      <c r="F48" s="5" t="n">
        <v>53008</v>
      </c>
      <c r="G48" s="5" t="n">
        <v>61.16</v>
      </c>
      <c r="H48" s="5" t="s">
        <v>52</v>
      </c>
    </row>
    <row r="49" customFormat="false" ht="15" hidden="false" customHeight="false" outlineLevel="0" collapsed="false">
      <c r="A49" s="5" t="s">
        <v>1644</v>
      </c>
      <c r="B49" s="5" t="s">
        <v>1581</v>
      </c>
      <c r="C49" s="5" t="s">
        <v>69</v>
      </c>
      <c r="D49" s="5" t="n">
        <v>2</v>
      </c>
      <c r="E49" s="5" t="s">
        <v>1645</v>
      </c>
      <c r="F49" s="5" t="n">
        <v>53200</v>
      </c>
      <c r="G49" s="5" t="n">
        <v>60.94</v>
      </c>
      <c r="H49" s="5" t="s">
        <v>52</v>
      </c>
    </row>
    <row r="50" customFormat="false" ht="15" hidden="false" customHeight="false" outlineLevel="0" collapsed="false">
      <c r="A50" s="5" t="s">
        <v>1646</v>
      </c>
      <c r="B50" s="5" t="s">
        <v>1581</v>
      </c>
      <c r="C50" s="5" t="s">
        <v>69</v>
      </c>
      <c r="D50" s="5" t="n">
        <v>2</v>
      </c>
      <c r="E50" s="5" t="s">
        <v>1647</v>
      </c>
      <c r="F50" s="5" t="n">
        <v>54269</v>
      </c>
      <c r="G50" s="5" t="n">
        <v>59.74</v>
      </c>
      <c r="H50" s="5" t="s">
        <v>52</v>
      </c>
    </row>
    <row r="51" customFormat="false" ht="15" hidden="false" customHeight="false" outlineLevel="0" collapsed="false">
      <c r="A51" s="5" t="s">
        <v>1648</v>
      </c>
      <c r="B51" s="5" t="s">
        <v>1581</v>
      </c>
      <c r="C51" s="5" t="s">
        <v>1590</v>
      </c>
      <c r="D51" s="5" t="n">
        <v>2</v>
      </c>
      <c r="E51" s="5" t="s">
        <v>634</v>
      </c>
      <c r="F51" s="5" t="n">
        <v>54351</v>
      </c>
      <c r="G51" s="5" t="n">
        <v>59.65</v>
      </c>
      <c r="H51" s="5" t="s">
        <v>52</v>
      </c>
    </row>
    <row r="52" customFormat="false" ht="15" hidden="false" customHeight="false" outlineLevel="0" collapsed="false">
      <c r="A52" s="5" t="s">
        <v>1649</v>
      </c>
      <c r="B52" s="5" t="s">
        <v>1581</v>
      </c>
      <c r="C52" s="5" t="s">
        <v>69</v>
      </c>
      <c r="D52" s="5" t="n">
        <v>2</v>
      </c>
      <c r="E52" s="5" t="s">
        <v>1585</v>
      </c>
      <c r="F52" s="5" t="n">
        <v>56936</v>
      </c>
      <c r="G52" s="5" t="n">
        <v>56.94</v>
      </c>
      <c r="H52" s="5" t="s">
        <v>52</v>
      </c>
    </row>
    <row r="53" customFormat="false" ht="15" hidden="false" customHeight="false" outlineLevel="0" collapsed="false">
      <c r="A53" s="5" t="s">
        <v>1650</v>
      </c>
      <c r="B53" s="5" t="s">
        <v>1581</v>
      </c>
      <c r="C53" s="5" t="s">
        <v>69</v>
      </c>
      <c r="D53" s="5" t="n">
        <v>2</v>
      </c>
      <c r="E53" s="5" t="s">
        <v>1651</v>
      </c>
      <c r="F53" s="5" t="n">
        <v>59028</v>
      </c>
      <c r="G53" s="5" t="n">
        <v>54.92</v>
      </c>
      <c r="H53" s="5" t="s">
        <v>52</v>
      </c>
    </row>
    <row r="54" customFormat="false" ht="15" hidden="false" customHeight="false" outlineLevel="0" collapsed="false">
      <c r="A54" s="5" t="s">
        <v>1652</v>
      </c>
      <c r="B54" s="5" t="s">
        <v>1581</v>
      </c>
      <c r="C54" s="5" t="s">
        <v>69</v>
      </c>
      <c r="D54" s="5" t="n">
        <v>3</v>
      </c>
      <c r="E54" s="5" t="s">
        <v>1593</v>
      </c>
      <c r="F54" s="5" t="n">
        <v>113605</v>
      </c>
      <c r="G54" s="5" t="n">
        <v>42.8</v>
      </c>
      <c r="H54" s="5" t="s">
        <v>52</v>
      </c>
    </row>
    <row r="55" customFormat="false" ht="15" hidden="false" customHeight="false" outlineLevel="0" collapsed="false">
      <c r="A55" s="5" t="s">
        <v>1653</v>
      </c>
      <c r="B55" s="5" t="s">
        <v>1581</v>
      </c>
      <c r="C55" s="5" t="s">
        <v>69</v>
      </c>
      <c r="D55" s="5" t="n">
        <v>2</v>
      </c>
      <c r="E55" s="5" t="s">
        <v>1654</v>
      </c>
      <c r="F55" s="5" t="n">
        <v>92851</v>
      </c>
      <c r="G55" s="5" t="n">
        <v>34.91</v>
      </c>
      <c r="H55" s="5" t="s">
        <v>52</v>
      </c>
    </row>
    <row r="56" customFormat="false" ht="15" hidden="false" customHeight="false" outlineLevel="0" collapsed="false">
      <c r="A56" s="5" t="s">
        <v>1655</v>
      </c>
      <c r="B56" s="5" t="s">
        <v>1581</v>
      </c>
      <c r="C56" s="5" t="s">
        <v>69</v>
      </c>
      <c r="D56" s="5" t="n">
        <v>2</v>
      </c>
      <c r="E56" s="5" t="s">
        <v>519</v>
      </c>
      <c r="F56" s="5" t="n">
        <v>97826</v>
      </c>
      <c r="G56" s="5" t="n">
        <v>33.14</v>
      </c>
      <c r="H56" s="5" t="s">
        <v>52</v>
      </c>
    </row>
    <row r="57" customFormat="false" ht="15" hidden="false" customHeight="false" outlineLevel="0" collapsed="false">
      <c r="A57" s="5" t="s">
        <v>1656</v>
      </c>
      <c r="B57" s="5" t="s">
        <v>1581</v>
      </c>
      <c r="C57" s="5" t="s">
        <v>69</v>
      </c>
      <c r="D57" s="5" t="n">
        <v>2</v>
      </c>
      <c r="E57" s="5" t="s">
        <v>1657</v>
      </c>
      <c r="F57" s="5" t="n">
        <v>99451</v>
      </c>
      <c r="G57" s="5" t="n">
        <v>32.6</v>
      </c>
      <c r="H57" s="5" t="s">
        <v>52</v>
      </c>
    </row>
    <row r="58" customFormat="false" ht="15" hidden="false" customHeight="false" outlineLevel="0" collapsed="false">
      <c r="A58" s="5" t="s">
        <v>1658</v>
      </c>
      <c r="B58" s="5" t="s">
        <v>1581</v>
      </c>
      <c r="C58" s="5" t="s">
        <v>69</v>
      </c>
      <c r="D58" s="5" t="n">
        <v>5</v>
      </c>
      <c r="E58" s="5" t="s">
        <v>1659</v>
      </c>
      <c r="F58" s="5" t="n">
        <v>257685</v>
      </c>
      <c r="G58" s="5" t="n">
        <v>31.45</v>
      </c>
      <c r="H58" s="5" t="s">
        <v>52</v>
      </c>
    </row>
    <row r="59" customFormat="false" ht="15" hidden="false" customHeight="false" outlineLevel="0" collapsed="false">
      <c r="A59" s="5" t="s">
        <v>1660</v>
      </c>
      <c r="B59" s="5" t="s">
        <v>1581</v>
      </c>
      <c r="C59" s="5" t="s">
        <v>69</v>
      </c>
      <c r="D59" s="5" t="n">
        <v>3</v>
      </c>
      <c r="E59" s="5" t="s">
        <v>1661</v>
      </c>
      <c r="F59" s="5" t="n">
        <v>166493</v>
      </c>
      <c r="G59" s="5" t="n">
        <v>29.21</v>
      </c>
      <c r="H59" s="5" t="s">
        <v>52</v>
      </c>
    </row>
    <row r="60" customFormat="false" ht="22.35" hidden="false" customHeight="false" outlineLevel="0" collapsed="false">
      <c r="A60" s="5" t="s">
        <v>1662</v>
      </c>
      <c r="B60" s="5" t="s">
        <v>1581</v>
      </c>
      <c r="C60" s="5" t="s">
        <v>69</v>
      </c>
      <c r="D60" s="5" t="n">
        <v>8</v>
      </c>
      <c r="E60" s="5" t="s">
        <v>1663</v>
      </c>
      <c r="F60" s="5" t="n">
        <v>449556</v>
      </c>
      <c r="G60" s="5" t="n">
        <v>28.84</v>
      </c>
      <c r="H60" s="5" t="s">
        <v>52</v>
      </c>
    </row>
    <row r="61" customFormat="false" ht="15" hidden="false" customHeight="false" outlineLevel="0" collapsed="false">
      <c r="A61" s="5" t="s">
        <v>1664</v>
      </c>
      <c r="B61" s="5" t="s">
        <v>1581</v>
      </c>
      <c r="C61" s="5" t="s">
        <v>69</v>
      </c>
      <c r="D61" s="5" t="n">
        <v>4</v>
      </c>
      <c r="E61" s="5" t="s">
        <v>1665</v>
      </c>
      <c r="F61" s="5" t="n">
        <v>259637</v>
      </c>
      <c r="G61" s="5" t="n">
        <v>24.97</v>
      </c>
      <c r="H61" s="5" t="s">
        <v>52</v>
      </c>
    </row>
    <row r="62" customFormat="false" ht="15" hidden="false" customHeight="false" outlineLevel="0" collapsed="false">
      <c r="A62" s="5" t="s">
        <v>1666</v>
      </c>
      <c r="B62" s="5" t="s">
        <v>1581</v>
      </c>
      <c r="C62" s="5" t="s">
        <v>69</v>
      </c>
      <c r="D62" s="5" t="n">
        <v>2</v>
      </c>
      <c r="E62" s="5" t="s">
        <v>1667</v>
      </c>
      <c r="F62" s="5" t="n">
        <v>143129</v>
      </c>
      <c r="G62" s="5" t="n">
        <v>22.65</v>
      </c>
      <c r="H62" s="5" t="s">
        <v>52</v>
      </c>
    </row>
    <row r="63" customFormat="false" ht="15" hidden="false" customHeight="false" outlineLevel="0" collapsed="false">
      <c r="A63" s="5" t="s">
        <v>1668</v>
      </c>
      <c r="B63" s="5" t="s">
        <v>1581</v>
      </c>
      <c r="C63" s="5" t="s">
        <v>69</v>
      </c>
      <c r="D63" s="5" t="n">
        <v>2</v>
      </c>
      <c r="E63" s="5" t="s">
        <v>1669</v>
      </c>
      <c r="F63" s="5" t="n">
        <v>149114</v>
      </c>
      <c r="G63" s="5" t="n">
        <v>21.74</v>
      </c>
      <c r="H63" s="5" t="s">
        <v>52</v>
      </c>
    </row>
    <row r="64" customFormat="false" ht="32.8" hidden="false" customHeight="false" outlineLevel="0" collapsed="false">
      <c r="A64" s="5" t="s">
        <v>1670</v>
      </c>
      <c r="B64" s="5" t="s">
        <v>1581</v>
      </c>
      <c r="C64" s="5" t="s">
        <v>69</v>
      </c>
      <c r="D64" s="5" t="n">
        <v>11</v>
      </c>
      <c r="E64" s="5" t="s">
        <v>1671</v>
      </c>
      <c r="F64" s="5" t="n">
        <v>826195</v>
      </c>
      <c r="G64" s="5" t="n">
        <v>21.58</v>
      </c>
      <c r="H64" s="5" t="s">
        <v>52</v>
      </c>
    </row>
    <row r="65" customFormat="false" ht="15" hidden="false" customHeight="false" outlineLevel="0" collapsed="false">
      <c r="A65" s="5" t="s">
        <v>1672</v>
      </c>
      <c r="B65" s="5" t="s">
        <v>1581</v>
      </c>
      <c r="C65" s="5" t="s">
        <v>69</v>
      </c>
      <c r="D65" s="5" t="n">
        <v>4</v>
      </c>
      <c r="E65" s="5" t="s">
        <v>1673</v>
      </c>
      <c r="F65" s="5" t="n">
        <v>313913</v>
      </c>
      <c r="G65" s="5" t="n">
        <v>20.65</v>
      </c>
      <c r="H65" s="5" t="s">
        <v>52</v>
      </c>
    </row>
    <row r="66" customFormat="false" ht="15" hidden="false" customHeight="false" outlineLevel="0" collapsed="false">
      <c r="A66" s="5" t="s">
        <v>1674</v>
      </c>
      <c r="B66" s="5" t="s">
        <v>1581</v>
      </c>
      <c r="C66" s="5" t="s">
        <v>69</v>
      </c>
      <c r="D66" s="5" t="n">
        <v>3</v>
      </c>
      <c r="E66" s="5" t="s">
        <v>1675</v>
      </c>
      <c r="F66" s="5" t="n">
        <v>393983</v>
      </c>
      <c r="G66" s="5" t="n">
        <v>12.34</v>
      </c>
      <c r="H66" s="5" t="s">
        <v>52</v>
      </c>
    </row>
    <row r="67" customFormat="false" ht="15" hidden="false" customHeight="false" outlineLevel="0" collapsed="false">
      <c r="A67" s="5" t="s">
        <v>1676</v>
      </c>
      <c r="B67" s="5" t="s">
        <v>1581</v>
      </c>
      <c r="C67" s="5" t="s">
        <v>69</v>
      </c>
      <c r="D67" s="5" t="n">
        <v>3</v>
      </c>
      <c r="E67" s="5" t="s">
        <v>1677</v>
      </c>
      <c r="F67" s="5" t="n">
        <v>395096</v>
      </c>
      <c r="G67" s="5" t="n">
        <v>12.31</v>
      </c>
      <c r="H67" s="5" t="s">
        <v>52</v>
      </c>
    </row>
    <row r="68" customFormat="false" ht="15" hidden="false" customHeight="false" outlineLevel="0" collapsed="false">
      <c r="A68" s="5" t="s">
        <v>1678</v>
      </c>
      <c r="B68" s="5" t="s">
        <v>1581</v>
      </c>
      <c r="C68" s="5" t="s">
        <v>69</v>
      </c>
      <c r="D68" s="5" t="n">
        <v>2</v>
      </c>
      <c r="E68" s="5" t="s">
        <v>1607</v>
      </c>
      <c r="F68" s="5" t="n">
        <v>271926</v>
      </c>
      <c r="G68" s="5" t="n">
        <v>11.92</v>
      </c>
      <c r="H68" s="5" t="s">
        <v>52</v>
      </c>
    </row>
    <row r="69" customFormat="false" ht="15" hidden="false" customHeight="false" outlineLevel="0" collapsed="false">
      <c r="A69" s="5" t="s">
        <v>1679</v>
      </c>
      <c r="B69" s="5" t="s">
        <v>1581</v>
      </c>
      <c r="C69" s="5" t="s">
        <v>69</v>
      </c>
      <c r="D69" s="5" t="n">
        <v>2</v>
      </c>
      <c r="E69" s="5" t="s">
        <v>1654</v>
      </c>
      <c r="F69" s="5" t="n">
        <v>283302</v>
      </c>
      <c r="G69" s="5" t="n">
        <v>11.44</v>
      </c>
      <c r="H69" s="5" t="s">
        <v>52</v>
      </c>
    </row>
    <row r="70" customFormat="false" ht="15" hidden="false" customHeight="false" outlineLevel="0" collapsed="false">
      <c r="A70" s="5" t="s">
        <v>1680</v>
      </c>
      <c r="B70" s="5" t="s">
        <v>1581</v>
      </c>
      <c r="C70" s="5" t="s">
        <v>69</v>
      </c>
      <c r="D70" s="5" t="n">
        <v>5</v>
      </c>
      <c r="E70" s="5" t="s">
        <v>1681</v>
      </c>
      <c r="F70" s="5" t="n">
        <v>813544</v>
      </c>
      <c r="G70" s="5" t="n">
        <v>9.96</v>
      </c>
      <c r="H70" s="5" t="s">
        <v>52</v>
      </c>
    </row>
    <row r="71" customFormat="false" ht="15" hidden="false" customHeight="false" outlineLevel="0" collapsed="false">
      <c r="A71" s="5" t="s">
        <v>1682</v>
      </c>
      <c r="B71" s="5" t="s">
        <v>1581</v>
      </c>
      <c r="C71" s="5" t="s">
        <v>69</v>
      </c>
      <c r="D71" s="5" t="n">
        <v>2</v>
      </c>
      <c r="E71" s="5" t="s">
        <v>1683</v>
      </c>
      <c r="F71" s="5" t="n">
        <v>361244</v>
      </c>
      <c r="G71" s="5" t="n">
        <v>8.97</v>
      </c>
      <c r="H71" s="5" t="s">
        <v>52</v>
      </c>
    </row>
    <row r="72" customFormat="false" ht="15" hidden="false" customHeight="false" outlineLevel="0" collapsed="false">
      <c r="A72" s="5" t="s">
        <v>1684</v>
      </c>
      <c r="B72" s="5" t="s">
        <v>1581</v>
      </c>
      <c r="C72" s="5" t="s">
        <v>69</v>
      </c>
      <c r="D72" s="5" t="n">
        <v>2</v>
      </c>
      <c r="E72" s="5" t="s">
        <v>1571</v>
      </c>
      <c r="F72" s="5" t="n">
        <v>404643</v>
      </c>
      <c r="G72" s="5" t="n">
        <v>8.01</v>
      </c>
      <c r="H72" s="5" t="s">
        <v>52</v>
      </c>
    </row>
    <row r="73" customFormat="false" ht="15" hidden="false" customHeight="false" outlineLevel="0" collapsed="false">
      <c r="A73" s="5" t="s">
        <v>1685</v>
      </c>
      <c r="B73" s="5" t="s">
        <v>1581</v>
      </c>
      <c r="C73" s="5" t="s">
        <v>69</v>
      </c>
      <c r="D73" s="5" t="n">
        <v>2</v>
      </c>
      <c r="E73" s="5" t="s">
        <v>1601</v>
      </c>
      <c r="F73" s="5" t="n">
        <v>406204</v>
      </c>
      <c r="G73" s="5" t="n">
        <v>7.98</v>
      </c>
      <c r="H73" s="5" t="s">
        <v>52</v>
      </c>
    </row>
    <row r="74" customFormat="false" ht="15" hidden="false" customHeight="false" outlineLevel="0" collapsed="false">
      <c r="A74" s="5" t="s">
        <v>1686</v>
      </c>
      <c r="B74" s="5" t="s">
        <v>1581</v>
      </c>
      <c r="C74" s="5" t="s">
        <v>69</v>
      </c>
      <c r="D74" s="5" t="n">
        <v>2</v>
      </c>
      <c r="E74" s="5" t="s">
        <v>1687</v>
      </c>
      <c r="F74" s="5" t="n">
        <v>443401</v>
      </c>
      <c r="G74" s="5" t="n">
        <v>7.31</v>
      </c>
      <c r="H74" s="5" t="s">
        <v>52</v>
      </c>
    </row>
    <row r="75" customFormat="false" ht="15" hidden="false" customHeight="false" outlineLevel="0" collapsed="false">
      <c r="A75" s="5" t="s">
        <v>1688</v>
      </c>
      <c r="B75" s="5" t="s">
        <v>1581</v>
      </c>
      <c r="C75" s="5" t="s">
        <v>69</v>
      </c>
      <c r="D75" s="5" t="n">
        <v>2</v>
      </c>
      <c r="E75" s="5" t="s">
        <v>1657</v>
      </c>
      <c r="F75" s="5" t="n">
        <v>479271</v>
      </c>
      <c r="G75" s="5" t="n">
        <v>6.76</v>
      </c>
      <c r="H75" s="5" t="s">
        <v>52</v>
      </c>
    </row>
    <row r="76" customFormat="false" ht="15" hidden="false" customHeight="false" outlineLevel="0" collapsed="false">
      <c r="A76" s="5" t="s">
        <v>1689</v>
      </c>
      <c r="B76" s="5" t="s">
        <v>1581</v>
      </c>
      <c r="C76" s="5" t="s">
        <v>69</v>
      </c>
      <c r="D76" s="5" t="n">
        <v>2</v>
      </c>
      <c r="E76" s="5" t="s">
        <v>1690</v>
      </c>
      <c r="F76" s="5" t="n">
        <v>532424</v>
      </c>
      <c r="G76" s="5" t="n">
        <v>6.09</v>
      </c>
      <c r="H76" s="5" t="s">
        <v>52</v>
      </c>
    </row>
    <row r="77" customFormat="false" ht="22.35" hidden="false" customHeight="false" outlineLevel="0" collapsed="false">
      <c r="A77" s="5" t="s">
        <v>1691</v>
      </c>
      <c r="B77" s="5" t="s">
        <v>1581</v>
      </c>
      <c r="C77" s="5" t="s">
        <v>69</v>
      </c>
      <c r="D77" s="5" t="n">
        <v>4</v>
      </c>
      <c r="E77" s="5" t="s">
        <v>1692</v>
      </c>
      <c r="F77" s="5" t="n">
        <v>1079598</v>
      </c>
      <c r="G77" s="5" t="n">
        <v>6.01</v>
      </c>
      <c r="H77" s="5" t="s">
        <v>52</v>
      </c>
    </row>
    <row r="78" customFormat="false" ht="15" hidden="false" customHeight="false" outlineLevel="0" collapsed="false">
      <c r="A78" s="5" t="s">
        <v>1693</v>
      </c>
      <c r="B78" s="5" t="s">
        <v>1581</v>
      </c>
      <c r="C78" s="5" t="s">
        <v>69</v>
      </c>
      <c r="D78" s="5" t="n">
        <v>4</v>
      </c>
      <c r="E78" s="5" t="s">
        <v>1694</v>
      </c>
      <c r="F78" s="5" t="n">
        <v>1198696</v>
      </c>
      <c r="G78" s="5" t="n">
        <v>5.41</v>
      </c>
      <c r="H78" s="5" t="s">
        <v>52</v>
      </c>
    </row>
    <row r="79" customFormat="false" ht="15" hidden="false" customHeight="false" outlineLevel="0" collapsed="false">
      <c r="A79" s="5" t="s">
        <v>1695</v>
      </c>
      <c r="B79" s="5" t="s">
        <v>1581</v>
      </c>
      <c r="C79" s="5" t="s">
        <v>69</v>
      </c>
      <c r="D79" s="5" t="n">
        <v>2</v>
      </c>
      <c r="E79" s="5" t="s">
        <v>1696</v>
      </c>
      <c r="F79" s="5" t="n">
        <v>612924</v>
      </c>
      <c r="G79" s="5" t="n">
        <v>5.29</v>
      </c>
      <c r="H79" s="5" t="s">
        <v>52</v>
      </c>
    </row>
    <row r="80" customFormat="false" ht="15" hidden="false" customHeight="false" outlineLevel="0" collapsed="false">
      <c r="A80" s="5" t="s">
        <v>1697</v>
      </c>
      <c r="B80" s="5" t="s">
        <v>1581</v>
      </c>
      <c r="C80" s="5" t="s">
        <v>69</v>
      </c>
      <c r="D80" s="5" t="n">
        <v>2</v>
      </c>
      <c r="E80" s="5" t="s">
        <v>1698</v>
      </c>
      <c r="F80" s="5" t="n">
        <v>689362</v>
      </c>
      <c r="G80" s="5" t="n">
        <v>4.7</v>
      </c>
      <c r="H80" s="5" t="s">
        <v>52</v>
      </c>
    </row>
    <row r="81" customFormat="false" ht="15" hidden="false" customHeight="false" outlineLevel="0" collapsed="false">
      <c r="A81" s="5" t="s">
        <v>1699</v>
      </c>
      <c r="B81" s="5" t="s">
        <v>1581</v>
      </c>
      <c r="C81" s="5" t="s">
        <v>69</v>
      </c>
      <c r="D81" s="5" t="n">
        <v>2</v>
      </c>
      <c r="E81" s="5" t="s">
        <v>1577</v>
      </c>
      <c r="F81" s="5" t="n">
        <v>789250</v>
      </c>
      <c r="G81" s="5" t="n">
        <v>4.11</v>
      </c>
      <c r="H81" s="5" t="s">
        <v>52</v>
      </c>
    </row>
    <row r="82" customFormat="false" ht="15" hidden="false" customHeight="false" outlineLevel="0" collapsed="false">
      <c r="A82" s="5" t="s">
        <v>1700</v>
      </c>
      <c r="B82" s="5" t="s">
        <v>1581</v>
      </c>
      <c r="C82" s="5" t="s">
        <v>69</v>
      </c>
      <c r="D82" s="5" t="n">
        <v>2</v>
      </c>
      <c r="E82" s="5" t="s">
        <v>1701</v>
      </c>
      <c r="F82" s="5" t="n">
        <v>919232</v>
      </c>
      <c r="G82" s="5" t="n">
        <v>3.53</v>
      </c>
      <c r="H82" s="5" t="s">
        <v>52</v>
      </c>
    </row>
    <row r="83" customFormat="false" ht="15" hidden="false" customHeight="false" outlineLevel="0" collapsed="false">
      <c r="A83" s="5" t="s">
        <v>1702</v>
      </c>
      <c r="B83" s="5" t="s">
        <v>1581</v>
      </c>
      <c r="C83" s="5" t="s">
        <v>69</v>
      </c>
      <c r="D83" s="5" t="n">
        <v>2</v>
      </c>
      <c r="E83" s="5" t="s">
        <v>1607</v>
      </c>
      <c r="F83" s="5" t="n">
        <v>962190</v>
      </c>
      <c r="G83" s="5" t="n">
        <v>3.37</v>
      </c>
      <c r="H83" s="5" t="s">
        <v>52</v>
      </c>
    </row>
    <row r="84" customFormat="false" ht="15" hidden="false" customHeight="false" outlineLevel="0" collapsed="false">
      <c r="A84" s="5" t="s">
        <v>1703</v>
      </c>
      <c r="B84" s="5" t="s">
        <v>1581</v>
      </c>
      <c r="C84" s="5" t="s">
        <v>69</v>
      </c>
      <c r="D84" s="5" t="n">
        <v>2</v>
      </c>
      <c r="E84" s="5" t="s">
        <v>1593</v>
      </c>
      <c r="F84" s="5" t="n">
        <v>1064105</v>
      </c>
      <c r="G84" s="5" t="n">
        <v>3.05</v>
      </c>
      <c r="H84" s="5" t="s">
        <v>52</v>
      </c>
    </row>
    <row r="85" customFormat="false" ht="15" hidden="false" customHeight="false" outlineLevel="0" collapsed="false">
      <c r="A85" s="5" t="s">
        <v>1704</v>
      </c>
      <c r="B85" s="5" t="s">
        <v>1581</v>
      </c>
      <c r="C85" s="5" t="s">
        <v>69</v>
      </c>
      <c r="D85" s="5" t="n">
        <v>2</v>
      </c>
      <c r="E85" s="5" t="s">
        <v>1705</v>
      </c>
      <c r="F85" s="5" t="n">
        <v>1120828</v>
      </c>
      <c r="G85" s="5" t="n">
        <v>2.89</v>
      </c>
      <c r="H85" s="5" t="s">
        <v>52</v>
      </c>
    </row>
    <row r="86" customFormat="false" ht="15" hidden="false" customHeight="false" outlineLevel="0" collapsed="false">
      <c r="A86" s="5" t="s">
        <v>1706</v>
      </c>
      <c r="B86" s="5" t="s">
        <v>1581</v>
      </c>
      <c r="C86" s="5" t="s">
        <v>69</v>
      </c>
      <c r="D86" s="5" t="n">
        <v>3</v>
      </c>
      <c r="E86" s="5" t="s">
        <v>1687</v>
      </c>
      <c r="F86" s="5" t="n">
        <v>1725729</v>
      </c>
      <c r="G86" s="5" t="n">
        <v>2.82</v>
      </c>
      <c r="H86" s="5" t="s">
        <v>52</v>
      </c>
    </row>
    <row r="87" customFormat="false" ht="15" hidden="false" customHeight="false" outlineLevel="0" collapsed="false">
      <c r="A87" s="5" t="s">
        <v>1707</v>
      </c>
      <c r="B87" s="5" t="s">
        <v>1581</v>
      </c>
      <c r="C87" s="5" t="s">
        <v>69</v>
      </c>
      <c r="D87" s="5" t="n">
        <v>2</v>
      </c>
      <c r="E87" s="5" t="s">
        <v>1708</v>
      </c>
      <c r="F87" s="5" t="n">
        <v>1207176</v>
      </c>
      <c r="G87" s="5" t="n">
        <v>2.69</v>
      </c>
      <c r="H87" s="5" t="s">
        <v>52</v>
      </c>
    </row>
    <row r="88" customFormat="false" ht="15" hidden="false" customHeight="false" outlineLevel="0" collapsed="false">
      <c r="A88" s="5" t="s">
        <v>1709</v>
      </c>
      <c r="B88" s="5" t="s">
        <v>1581</v>
      </c>
      <c r="C88" s="5" t="s">
        <v>69</v>
      </c>
      <c r="D88" s="5" t="n">
        <v>4</v>
      </c>
      <c r="E88" s="5" t="s">
        <v>1710</v>
      </c>
      <c r="F88" s="5" t="n">
        <v>2509847</v>
      </c>
      <c r="G88" s="5" t="n">
        <v>2.58</v>
      </c>
      <c r="H88" s="5" t="s">
        <v>52</v>
      </c>
    </row>
    <row r="89" customFormat="false" ht="15" hidden="false" customHeight="false" outlineLevel="0" collapsed="false">
      <c r="A89" s="5" t="s">
        <v>1711</v>
      </c>
      <c r="B89" s="5" t="s">
        <v>1581</v>
      </c>
      <c r="C89" s="5" t="s">
        <v>69</v>
      </c>
      <c r="D89" s="5" t="n">
        <v>2</v>
      </c>
      <c r="E89" s="5" t="s">
        <v>1651</v>
      </c>
      <c r="F89" s="5" t="n">
        <v>2509847</v>
      </c>
      <c r="G89" s="5" t="n">
        <v>1.29</v>
      </c>
      <c r="H89" s="5" t="s">
        <v>52</v>
      </c>
    </row>
    <row r="90" customFormat="false" ht="15" hidden="false" customHeight="false" outlineLevel="0" collapsed="false">
      <c r="A90" s="6"/>
      <c r="B90" s="6"/>
      <c r="C90" s="6"/>
      <c r="D90" s="6"/>
      <c r="E90" s="6"/>
      <c r="F90" s="6"/>
      <c r="G90" s="6"/>
      <c r="H90" s="6"/>
    </row>
    <row r="91" customFormat="false" ht="15" hidden="false" customHeight="false" outlineLevel="0" collapsed="false">
      <c r="A91" s="8" t="s">
        <v>1712</v>
      </c>
      <c r="B91" s="6"/>
      <c r="C91" s="6"/>
      <c r="D91" s="6"/>
      <c r="E91" s="6"/>
      <c r="F91" s="6"/>
      <c r="G91" s="6"/>
      <c r="H91" s="6"/>
    </row>
  </sheetData>
  <autoFilter ref="A1:H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46"/>
    <col collapsed="false" customWidth="true" hidden="false" outlineLevel="0" max="4" min="4" style="0" width="22"/>
    <col collapsed="false" customWidth="true" hidden="false" outlineLevel="0" max="5" min="5" style="0" width="10"/>
    <col collapsed="false" customWidth="true" hidden="false" outlineLevel="0" max="8" min="6" style="0" width="26"/>
    <col collapsed="false" customWidth="true" hidden="false" outlineLevel="0" max="9" min="9" style="0" width="40"/>
  </cols>
  <sheetData>
    <row r="1" customFormat="false" ht="23.85" hidden="false" customHeight="false" outlineLevel="0" collapsed="false">
      <c r="A1" s="4" t="s">
        <v>1713</v>
      </c>
      <c r="B1" s="4" t="s">
        <v>1714</v>
      </c>
      <c r="C1" s="4" t="s">
        <v>1715</v>
      </c>
      <c r="D1" s="4" t="s">
        <v>1716</v>
      </c>
      <c r="E1" s="4" t="s">
        <v>1529</v>
      </c>
      <c r="F1" s="4" t="s">
        <v>1717</v>
      </c>
      <c r="G1" s="4" t="s">
        <v>1718</v>
      </c>
      <c r="H1" s="4" t="s">
        <v>1719</v>
      </c>
      <c r="I1" s="4" t="s">
        <v>1720</v>
      </c>
    </row>
    <row r="2" customFormat="false" ht="22.35" hidden="false" customHeight="false" outlineLevel="0" collapsed="false">
      <c r="A2" s="5" t="s">
        <v>1721</v>
      </c>
      <c r="B2" s="5" t="s">
        <v>1722</v>
      </c>
      <c r="C2" s="5" t="s">
        <v>1723</v>
      </c>
      <c r="D2" s="5" t="s">
        <v>1724</v>
      </c>
      <c r="E2" s="13" t="n">
        <v>528412</v>
      </c>
      <c r="F2" s="5" t="s">
        <v>1502</v>
      </c>
      <c r="G2" s="5" t="s">
        <v>1498</v>
      </c>
      <c r="H2" s="5" t="s">
        <v>1500</v>
      </c>
      <c r="I2" s="5" t="s">
        <v>1725</v>
      </c>
    </row>
    <row r="3" customFormat="false" ht="22.35" hidden="false" customHeight="false" outlineLevel="0" collapsed="false">
      <c r="A3" s="5" t="s">
        <v>1726</v>
      </c>
      <c r="B3" s="5" t="s">
        <v>1727</v>
      </c>
      <c r="C3" s="5" t="s">
        <v>1728</v>
      </c>
      <c r="D3" s="5" t="s">
        <v>1729</v>
      </c>
      <c r="E3" s="13" t="n">
        <v>427734</v>
      </c>
      <c r="F3" s="5" t="s">
        <v>1502</v>
      </c>
      <c r="G3" s="5" t="s">
        <v>1730</v>
      </c>
      <c r="H3" s="5" t="s">
        <v>1731</v>
      </c>
      <c r="I3" s="5" t="s">
        <v>1732</v>
      </c>
    </row>
    <row r="4" customFormat="false" ht="22.35" hidden="false" customHeight="false" outlineLevel="0" collapsed="false">
      <c r="A4" s="5" t="s">
        <v>1733</v>
      </c>
      <c r="B4" s="5" t="s">
        <v>1727</v>
      </c>
      <c r="C4" s="5" t="s">
        <v>1734</v>
      </c>
      <c r="D4" s="5" t="s">
        <v>1735</v>
      </c>
      <c r="E4" s="13" t="n">
        <v>247876</v>
      </c>
      <c r="F4" s="5" t="s">
        <v>1502</v>
      </c>
      <c r="G4" s="5" t="s">
        <v>1730</v>
      </c>
      <c r="H4" s="5" t="s">
        <v>1731</v>
      </c>
      <c r="I4" s="5" t="s">
        <v>1732</v>
      </c>
    </row>
    <row r="5" customFormat="false" ht="22.35" hidden="false" customHeight="false" outlineLevel="0" collapsed="false">
      <c r="A5" s="5" t="s">
        <v>1736</v>
      </c>
      <c r="B5" s="5" t="s">
        <v>1727</v>
      </c>
      <c r="C5" s="5" t="s">
        <v>1737</v>
      </c>
      <c r="D5" s="5" t="s">
        <v>1738</v>
      </c>
      <c r="E5" s="13" t="n">
        <v>311556</v>
      </c>
      <c r="F5" s="5" t="s">
        <v>1502</v>
      </c>
      <c r="G5" s="5" t="s">
        <v>1498</v>
      </c>
      <c r="H5" s="5" t="s">
        <v>1500</v>
      </c>
      <c r="I5" s="5" t="s">
        <v>1725</v>
      </c>
    </row>
    <row r="6" customFormat="false" ht="32.8" hidden="false" customHeight="false" outlineLevel="0" collapsed="false">
      <c r="A6" s="5" t="s">
        <v>1739</v>
      </c>
      <c r="B6" s="5" t="s">
        <v>1727</v>
      </c>
      <c r="C6" s="5" t="s">
        <v>1740</v>
      </c>
      <c r="D6" s="5" t="s">
        <v>1741</v>
      </c>
      <c r="E6" s="13" t="n">
        <v>297641</v>
      </c>
      <c r="F6" s="5" t="s">
        <v>1742</v>
      </c>
      <c r="G6" s="5" t="s">
        <v>1743</v>
      </c>
      <c r="H6" s="5" t="s">
        <v>1744</v>
      </c>
      <c r="I6" s="5" t="s">
        <v>1745</v>
      </c>
    </row>
    <row r="7" customFormat="false" ht="22.35" hidden="false" customHeight="false" outlineLevel="0" collapsed="false">
      <c r="A7" s="5" t="s">
        <v>1746</v>
      </c>
      <c r="B7" s="5" t="s">
        <v>1727</v>
      </c>
      <c r="C7" s="5" t="s">
        <v>1747</v>
      </c>
      <c r="D7" s="5" t="s">
        <v>1741</v>
      </c>
      <c r="E7" s="13" t="n">
        <v>49580</v>
      </c>
      <c r="F7" s="5" t="s">
        <v>1748</v>
      </c>
      <c r="G7" s="5" t="s">
        <v>1749</v>
      </c>
      <c r="H7" s="5" t="s">
        <v>1750</v>
      </c>
      <c r="I7" s="5" t="s">
        <v>1751</v>
      </c>
    </row>
    <row r="8" customFormat="false" ht="15" hidden="false" customHeight="false" outlineLevel="0" collapsed="false">
      <c r="A8" s="6"/>
      <c r="B8" s="6"/>
      <c r="C8" s="6"/>
      <c r="D8" s="6"/>
      <c r="E8" s="6"/>
      <c r="F8" s="6"/>
      <c r="G8" s="6"/>
      <c r="H8" s="6"/>
      <c r="I8" s="6"/>
    </row>
    <row r="9" customFormat="false" ht="15" hidden="false" customHeight="false" outlineLevel="0" collapsed="false">
      <c r="A9" s="8" t="s">
        <v>1752</v>
      </c>
      <c r="B9" s="6"/>
      <c r="C9" s="6"/>
      <c r="D9" s="6"/>
      <c r="E9" s="6"/>
      <c r="F9" s="6"/>
      <c r="G9" s="6"/>
      <c r="H9" s="6"/>
      <c r="I9" s="6"/>
    </row>
    <row r="10" customFormat="false" ht="15" hidden="false" customHeight="false" outlineLevel="0" collapsed="false">
      <c r="A10" s="8" t="s">
        <v>1753</v>
      </c>
      <c r="B10" s="6"/>
      <c r="C10" s="6"/>
      <c r="D10" s="6"/>
      <c r="E10" s="6"/>
      <c r="F10" s="6"/>
      <c r="G10" s="6"/>
      <c r="H10" s="6"/>
      <c r="I10" s="6"/>
    </row>
    <row r="11" customFormat="false" ht="15" hidden="false" customHeight="false" outlineLevel="0" collapsed="false">
      <c r="A11" s="8" t="s">
        <v>1754</v>
      </c>
      <c r="B11" s="6"/>
      <c r="C11" s="6"/>
      <c r="D11" s="6"/>
      <c r="E11" s="6"/>
      <c r="F11" s="6"/>
      <c r="G11" s="6"/>
      <c r="H11" s="6"/>
      <c r="I11" s="6"/>
    </row>
    <row r="12" customFormat="false" ht="15" hidden="false" customHeight="false" outlineLevel="0" collapsed="false">
      <c r="A12" s="8" t="s">
        <v>1755</v>
      </c>
      <c r="B12" s="6"/>
      <c r="C12" s="6"/>
      <c r="D12" s="6"/>
      <c r="E12" s="6"/>
      <c r="F12" s="6"/>
      <c r="G12" s="6"/>
      <c r="H12" s="6"/>
      <c r="I12" s="6"/>
    </row>
    <row r="13" customFormat="false" ht="15" hidden="false" customHeight="false" outlineLevel="0" collapsed="false">
      <c r="A13" s="8" t="s">
        <v>1756</v>
      </c>
      <c r="B13" s="6"/>
      <c r="C13" s="6"/>
      <c r="D13" s="6"/>
      <c r="E13" s="6"/>
      <c r="F13" s="6"/>
      <c r="G13" s="6"/>
      <c r="H13" s="6"/>
      <c r="I13" s="6"/>
    </row>
    <row r="14" customFormat="false" ht="15" hidden="false" customHeight="false" outlineLevel="0" collapsed="false">
      <c r="A14" s="8" t="s">
        <v>1757</v>
      </c>
      <c r="B14" s="6"/>
      <c r="C14" s="6"/>
      <c r="D14" s="6"/>
      <c r="E14" s="6"/>
      <c r="F14" s="6"/>
      <c r="G14" s="6"/>
      <c r="H14" s="6"/>
      <c r="I14" s="6"/>
    </row>
    <row r="15" customFormat="false" ht="15" hidden="false" customHeight="false" outlineLevel="0" collapsed="false">
      <c r="A15" s="6"/>
      <c r="B15" s="6"/>
      <c r="C15" s="6"/>
      <c r="D15" s="6"/>
      <c r="E15" s="6"/>
      <c r="F15" s="6"/>
      <c r="G15" s="6"/>
      <c r="H15" s="6"/>
      <c r="I15" s="6"/>
    </row>
    <row r="16" customFormat="false" ht="15" hidden="false" customHeight="false" outlineLevel="0" collapsed="false">
      <c r="A16" s="7" t="s">
        <v>1758</v>
      </c>
      <c r="B16" s="6"/>
      <c r="C16" s="6"/>
      <c r="D16" s="6"/>
      <c r="E16" s="6"/>
      <c r="F16" s="6"/>
      <c r="G16" s="6"/>
      <c r="H16" s="6"/>
      <c r="I16" s="6"/>
    </row>
    <row r="17" customFormat="false" ht="15" hidden="false" customHeight="false" outlineLevel="0" collapsed="false">
      <c r="A17" s="4" t="s">
        <v>1519</v>
      </c>
      <c r="B17" s="4" t="s">
        <v>1529</v>
      </c>
      <c r="C17" s="4" t="s">
        <v>1759</v>
      </c>
      <c r="D17" s="6"/>
      <c r="E17" s="6"/>
      <c r="F17" s="6"/>
      <c r="G17" s="6"/>
      <c r="H17" s="6"/>
      <c r="I17" s="6"/>
    </row>
    <row r="18" customFormat="false" ht="15" hidden="false" customHeight="false" outlineLevel="0" collapsed="false">
      <c r="A18" s="5" t="s">
        <v>1524</v>
      </c>
      <c r="B18" s="13" t="n">
        <v>113594</v>
      </c>
      <c r="C18" s="5" t="s">
        <v>68</v>
      </c>
      <c r="D18" s="6"/>
      <c r="E18" s="6"/>
      <c r="F18" s="6"/>
      <c r="G18" s="6"/>
      <c r="H18" s="6"/>
      <c r="I18" s="6"/>
    </row>
    <row r="19" customFormat="false" ht="15" hidden="false" customHeight="false" outlineLevel="0" collapsed="false">
      <c r="A19" s="5" t="s">
        <v>1521</v>
      </c>
      <c r="B19" s="13" t="n">
        <v>96015</v>
      </c>
      <c r="C19" s="5" t="s">
        <v>68</v>
      </c>
      <c r="D19" s="6"/>
      <c r="E19" s="6"/>
      <c r="F19" s="6"/>
      <c r="G19" s="6"/>
      <c r="H19" s="6"/>
      <c r="I19" s="6"/>
    </row>
    <row r="20" customFormat="false" ht="15" hidden="false" customHeight="false" outlineLevel="0" collapsed="false">
      <c r="A20" s="5" t="s">
        <v>1522</v>
      </c>
      <c r="B20" s="13" t="n">
        <v>59407</v>
      </c>
      <c r="C20" s="5" t="s">
        <v>68</v>
      </c>
      <c r="D20" s="6"/>
      <c r="E20" s="6"/>
      <c r="F20" s="6"/>
      <c r="G20" s="6"/>
      <c r="H20" s="6"/>
      <c r="I20" s="6"/>
    </row>
    <row r="21" customFormat="false" ht="15" hidden="false" customHeight="false" outlineLevel="0" collapsed="false">
      <c r="A21" s="5" t="s">
        <v>1760</v>
      </c>
      <c r="B21" s="13" t="n">
        <v>47166</v>
      </c>
      <c r="C21" s="5" t="s">
        <v>52</v>
      </c>
      <c r="D21" s="6"/>
      <c r="E21" s="6"/>
      <c r="F21" s="6"/>
      <c r="G21" s="6"/>
      <c r="H21" s="6"/>
      <c r="I21" s="6"/>
    </row>
    <row r="22" customFormat="false" ht="15" hidden="false" customHeight="false" outlineLevel="0" collapsed="false">
      <c r="A22" s="5" t="s">
        <v>1761</v>
      </c>
      <c r="B22" s="13" t="n">
        <v>35127</v>
      </c>
      <c r="C22" s="5" t="s">
        <v>52</v>
      </c>
      <c r="D22" s="6"/>
      <c r="E22" s="6"/>
      <c r="F22" s="6"/>
      <c r="G22" s="6"/>
      <c r="H22" s="6"/>
      <c r="I22" s="6"/>
    </row>
    <row r="23" customFormat="false" ht="15" hidden="false" customHeight="false" outlineLevel="0" collapsed="false">
      <c r="A23" s="5" t="s">
        <v>1762</v>
      </c>
      <c r="B23" s="13" t="n">
        <v>28389</v>
      </c>
      <c r="C23" s="5" t="s">
        <v>52</v>
      </c>
      <c r="D23" s="6"/>
      <c r="E23" s="6"/>
      <c r="F23" s="6"/>
      <c r="G23" s="6"/>
      <c r="H23" s="6"/>
      <c r="I23" s="6"/>
    </row>
    <row r="24" customFormat="false" ht="15" hidden="false" customHeight="false" outlineLevel="0" collapsed="false">
      <c r="A24" s="5" t="s">
        <v>1525</v>
      </c>
      <c r="B24" s="13" t="n">
        <v>26014</v>
      </c>
      <c r="C24" s="5" t="s">
        <v>68</v>
      </c>
      <c r="D24" s="6"/>
      <c r="E24" s="6"/>
      <c r="F24" s="6"/>
      <c r="G24" s="6"/>
      <c r="H24" s="6"/>
      <c r="I24" s="6"/>
    </row>
    <row r="25" customFormat="false" ht="15" hidden="false" customHeight="false" outlineLevel="0" collapsed="false">
      <c r="A25" s="5" t="s">
        <v>1763</v>
      </c>
      <c r="B25" s="13" t="n">
        <v>20865</v>
      </c>
      <c r="C25" s="5" t="s">
        <v>52</v>
      </c>
      <c r="D25" s="6"/>
      <c r="E25" s="6"/>
      <c r="F25" s="6"/>
      <c r="G25" s="6"/>
      <c r="H25" s="6"/>
      <c r="I25" s="6"/>
    </row>
    <row r="26" customFormat="false" ht="15" hidden="false" customHeight="false" outlineLevel="0" collapsed="false">
      <c r="A26" s="5" t="s">
        <v>1523</v>
      </c>
      <c r="B26" s="13" t="n">
        <v>16526</v>
      </c>
      <c r="C26" s="5" t="s">
        <v>68</v>
      </c>
      <c r="D26" s="6"/>
      <c r="E26" s="6"/>
      <c r="F26" s="6"/>
      <c r="G26" s="6"/>
      <c r="H26" s="6"/>
      <c r="I26" s="6"/>
    </row>
    <row r="27" customFormat="false" ht="15" hidden="false" customHeight="false" outlineLevel="0" collapsed="false">
      <c r="A27" s="5" t="s">
        <v>1764</v>
      </c>
      <c r="B27" s="13" t="n">
        <v>15218</v>
      </c>
      <c r="C27" s="5" t="s">
        <v>52</v>
      </c>
      <c r="D27" s="6"/>
      <c r="E27" s="6"/>
      <c r="F27" s="6"/>
      <c r="G27" s="6"/>
      <c r="H27" s="6"/>
      <c r="I27" s="6"/>
    </row>
    <row r="28" customFormat="false" ht="15" hidden="false" customHeight="false" outlineLevel="0" collapsed="false">
      <c r="A28" s="5" t="s">
        <v>1765</v>
      </c>
      <c r="B28" s="13" t="n">
        <v>13711</v>
      </c>
      <c r="C28" s="5" t="s">
        <v>52</v>
      </c>
      <c r="D28" s="6"/>
      <c r="E28" s="6"/>
      <c r="F28" s="6"/>
      <c r="G28" s="6"/>
      <c r="H28" s="6"/>
      <c r="I28" s="6"/>
    </row>
    <row r="29" customFormat="false" ht="15" hidden="false" customHeight="false" outlineLevel="0" collapsed="false">
      <c r="A29" s="5" t="s">
        <v>1766</v>
      </c>
      <c r="B29" s="13" t="n">
        <v>13060</v>
      </c>
      <c r="C29" s="5" t="s">
        <v>52</v>
      </c>
      <c r="D29" s="6"/>
      <c r="E29" s="6"/>
      <c r="F29" s="6"/>
      <c r="G29" s="6"/>
      <c r="H29" s="6"/>
      <c r="I29" s="6"/>
    </row>
    <row r="30" customFormat="false" ht="22.35" hidden="false" customHeight="false" outlineLevel="0" collapsed="false">
      <c r="A30" s="5" t="s">
        <v>1767</v>
      </c>
      <c r="B30" s="13" t="n">
        <v>8942</v>
      </c>
      <c r="C30" s="5" t="s">
        <v>52</v>
      </c>
      <c r="D30" s="6"/>
      <c r="E30" s="6"/>
      <c r="F30" s="6"/>
      <c r="G30" s="6"/>
      <c r="H30" s="6"/>
      <c r="I30" s="6"/>
    </row>
    <row r="31" customFormat="false" ht="15" hidden="false" customHeight="false" outlineLevel="0" collapsed="false">
      <c r="A31" s="5" t="s">
        <v>1768</v>
      </c>
      <c r="B31" s="13" t="n">
        <v>7568</v>
      </c>
      <c r="C31" s="5" t="s">
        <v>52</v>
      </c>
      <c r="D31" s="6"/>
      <c r="E31" s="6"/>
      <c r="F31" s="6"/>
      <c r="G31" s="6"/>
      <c r="H31" s="6"/>
      <c r="I31" s="6"/>
    </row>
    <row r="32" customFormat="false" ht="15" hidden="false" customHeight="false" outlineLevel="0" collapsed="false">
      <c r="A32" s="5" t="s">
        <v>1769</v>
      </c>
      <c r="B32" s="13" t="n">
        <v>7006</v>
      </c>
      <c r="C32" s="5" t="s">
        <v>52</v>
      </c>
      <c r="D32" s="6"/>
      <c r="E32" s="6"/>
      <c r="F32" s="6"/>
      <c r="G32" s="6"/>
      <c r="H32" s="6"/>
      <c r="I32" s="6"/>
    </row>
    <row r="33" customFormat="false" ht="15" hidden="false" customHeight="false" outlineLevel="0" collapsed="false">
      <c r="A33" s="5" t="s">
        <v>1770</v>
      </c>
      <c r="B33" s="13" t="n">
        <v>5865</v>
      </c>
      <c r="C33" s="5" t="s">
        <v>52</v>
      </c>
      <c r="D33" s="6"/>
      <c r="E33" s="6"/>
      <c r="F33" s="6"/>
      <c r="G33" s="6"/>
      <c r="H33" s="6"/>
      <c r="I33" s="6"/>
    </row>
    <row r="34" customFormat="false" ht="15" hidden="false" customHeight="false" outlineLevel="0" collapsed="false">
      <c r="A34" s="5" t="s">
        <v>1771</v>
      </c>
      <c r="B34" s="13" t="n">
        <v>3461</v>
      </c>
      <c r="C34" s="5" t="s">
        <v>52</v>
      </c>
      <c r="D34" s="6"/>
      <c r="E34" s="6"/>
      <c r="F34" s="6"/>
      <c r="G34" s="6"/>
      <c r="H34" s="6"/>
      <c r="I34" s="6"/>
    </row>
    <row r="35" customFormat="false" ht="15" hidden="false" customHeight="false" outlineLevel="0" collapsed="false">
      <c r="A35" s="5" t="s">
        <v>1772</v>
      </c>
      <c r="B35" s="13" t="n">
        <v>3020</v>
      </c>
      <c r="C35" s="5" t="s">
        <v>52</v>
      </c>
      <c r="D35" s="6"/>
      <c r="E35" s="6"/>
      <c r="F35" s="6"/>
      <c r="G35" s="6"/>
      <c r="H35" s="6"/>
      <c r="I35" s="6"/>
    </row>
    <row r="36" customFormat="false" ht="15" hidden="false" customHeight="false" outlineLevel="0" collapsed="false">
      <c r="A36" s="5" t="s">
        <v>1773</v>
      </c>
      <c r="B36" s="13" t="n">
        <v>2081</v>
      </c>
      <c r="C36" s="5" t="s">
        <v>52</v>
      </c>
      <c r="D36" s="6"/>
      <c r="E36" s="6"/>
      <c r="F36" s="6"/>
      <c r="G36" s="6"/>
      <c r="H36" s="6"/>
      <c r="I36" s="6"/>
    </row>
    <row r="37" customFormat="false" ht="15" hidden="false" customHeight="false" outlineLevel="0" collapsed="false">
      <c r="A37" s="5" t="s">
        <v>1774</v>
      </c>
      <c r="B37" s="13" t="n">
        <v>1192</v>
      </c>
      <c r="C37" s="5" t="s">
        <v>52</v>
      </c>
      <c r="D37" s="6"/>
      <c r="E37" s="6"/>
      <c r="F37" s="6"/>
      <c r="G37" s="6"/>
      <c r="H37" s="6"/>
      <c r="I37" s="6"/>
    </row>
    <row r="38" customFormat="false" ht="15" hidden="false" customHeight="false" outlineLevel="0" collapsed="false">
      <c r="A38" s="5" t="s">
        <v>1775</v>
      </c>
      <c r="B38" s="13" t="n">
        <v>824</v>
      </c>
      <c r="C38" s="5" t="s">
        <v>52</v>
      </c>
      <c r="D38" s="6"/>
      <c r="E38" s="6"/>
      <c r="F38" s="6"/>
      <c r="G38" s="6"/>
      <c r="H38" s="6"/>
      <c r="I38" s="6"/>
    </row>
    <row r="39" customFormat="false" ht="15" hidden="false" customHeight="false" outlineLevel="0" collapsed="false">
      <c r="A39" s="5" t="s">
        <v>1776</v>
      </c>
      <c r="B39" s="13" t="n">
        <v>756</v>
      </c>
      <c r="C39" s="5" t="s">
        <v>52</v>
      </c>
      <c r="D39" s="6"/>
      <c r="E39" s="6"/>
      <c r="F39" s="6"/>
      <c r="G39" s="6"/>
      <c r="H39" s="6"/>
      <c r="I39" s="6"/>
    </row>
    <row r="40" customFormat="false" ht="15" hidden="false" customHeight="false" outlineLevel="0" collapsed="false">
      <c r="A40" s="5" t="s">
        <v>1777</v>
      </c>
      <c r="B40" s="13" t="n">
        <v>740</v>
      </c>
      <c r="C40" s="5" t="s">
        <v>52</v>
      </c>
      <c r="D40" s="6"/>
      <c r="E40" s="6"/>
      <c r="F40" s="6"/>
      <c r="G40" s="6"/>
      <c r="H40" s="6"/>
      <c r="I40" s="6"/>
    </row>
    <row r="41" customFormat="false" ht="15" hidden="false" customHeight="false" outlineLevel="0" collapsed="false">
      <c r="A41" s="5" t="s">
        <v>1778</v>
      </c>
      <c r="B41" s="13" t="n">
        <v>705</v>
      </c>
      <c r="C41" s="5" t="s">
        <v>52</v>
      </c>
      <c r="D41" s="6"/>
      <c r="E41" s="6"/>
      <c r="F41" s="6"/>
      <c r="G41" s="6"/>
      <c r="H41" s="6"/>
      <c r="I41" s="6"/>
    </row>
    <row r="42" customFormat="false" ht="22.35" hidden="false" customHeight="false" outlineLevel="0" collapsed="false">
      <c r="A42" s="5" t="s">
        <v>1779</v>
      </c>
      <c r="B42" s="13" t="n">
        <v>660</v>
      </c>
      <c r="C42" s="5" t="s">
        <v>52</v>
      </c>
      <c r="D42" s="6"/>
      <c r="E42" s="6"/>
      <c r="F42" s="6"/>
      <c r="G42" s="6"/>
      <c r="H42" s="6"/>
      <c r="I42" s="6"/>
    </row>
    <row r="43" customFormat="false" ht="15" hidden="false" customHeight="false" outlineLevel="0" collapsed="false">
      <c r="A43" s="5" t="s">
        <v>1780</v>
      </c>
      <c r="B43" s="13" t="n">
        <v>635</v>
      </c>
      <c r="C43" s="5" t="s">
        <v>52</v>
      </c>
      <c r="D43" s="6"/>
      <c r="E43" s="6"/>
      <c r="F43" s="6"/>
      <c r="G43" s="6"/>
      <c r="H43" s="6"/>
      <c r="I43" s="6"/>
    </row>
    <row r="44" customFormat="false" ht="15" hidden="false" customHeight="false" outlineLevel="0" collapsed="false">
      <c r="A44" s="5" t="s">
        <v>1781</v>
      </c>
      <c r="B44" s="13" t="n">
        <v>355</v>
      </c>
      <c r="C44" s="5" t="s">
        <v>52</v>
      </c>
      <c r="D44" s="6"/>
      <c r="E44" s="6"/>
      <c r="F44" s="6"/>
      <c r="G44" s="6"/>
      <c r="H44" s="6"/>
      <c r="I44" s="6"/>
    </row>
    <row r="45" customFormat="false" ht="15" hidden="false" customHeight="false" outlineLevel="0" collapsed="false">
      <c r="A45" s="7" t="s">
        <v>1782</v>
      </c>
      <c r="B45" s="15" t="n">
        <f aca="false">SUM(B18:B44)</f>
        <v>528902</v>
      </c>
      <c r="C45" s="6"/>
      <c r="D45" s="6"/>
      <c r="E45" s="6"/>
      <c r="F45" s="6"/>
      <c r="G45" s="6"/>
      <c r="H45" s="6"/>
      <c r="I45" s="6"/>
    </row>
    <row r="46" customFormat="false" ht="15" hidden="false" customHeight="false" outlineLevel="0" collapsed="false">
      <c r="A46" s="7" t="s">
        <v>1759</v>
      </c>
      <c r="B46" s="15" t="n">
        <f aca="false">SUMIF(C18:C44,"yes",B18:B44)</f>
        <v>311556</v>
      </c>
      <c r="C46" s="6"/>
      <c r="D46" s="6"/>
      <c r="E46" s="6"/>
      <c r="F46" s="6"/>
      <c r="G46" s="6"/>
      <c r="H46" s="6"/>
      <c r="I46" s="6"/>
    </row>
  </sheetData>
  <autoFilter ref="A17:C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46"/>
    <col collapsed="false" customWidth="true" hidden="false" outlineLevel="0" max="4" min="4" style="0" width="13"/>
    <col collapsed="false" customWidth="true" hidden="false" outlineLevel="0" max="5" min="5" style="0" width="32"/>
    <col collapsed="false" customWidth="true" hidden="false" outlineLevel="0" max="6" min="6" style="0" width="40"/>
    <col collapsed="false" customWidth="true" hidden="false" outlineLevel="0" max="7" min="7" style="0" width="44"/>
  </cols>
  <sheetData>
    <row r="1" customFormat="false" ht="15" hidden="false" customHeight="false" outlineLevel="0" collapsed="false">
      <c r="A1" s="4" t="s">
        <v>15</v>
      </c>
      <c r="B1" s="4" t="s">
        <v>1783</v>
      </c>
      <c r="C1" s="4" t="s">
        <v>1307</v>
      </c>
      <c r="D1" s="4" t="s">
        <v>1518</v>
      </c>
      <c r="E1" s="4" t="s">
        <v>1784</v>
      </c>
      <c r="F1" s="4" t="s">
        <v>1785</v>
      </c>
      <c r="G1" s="4" t="s">
        <v>1786</v>
      </c>
    </row>
    <row r="2" customFormat="false" ht="15" hidden="false" customHeight="false" outlineLevel="0" collapsed="false">
      <c r="A2" s="5" t="s">
        <v>392</v>
      </c>
      <c r="B2" s="5" t="s">
        <v>69</v>
      </c>
      <c r="C2" s="5" t="s">
        <v>360</v>
      </c>
      <c r="D2" s="5" t="s">
        <v>398</v>
      </c>
      <c r="E2" s="5" t="s">
        <v>1524</v>
      </c>
      <c r="F2" s="5" t="s">
        <v>1787</v>
      </c>
      <c r="G2" s="5" t="s">
        <v>1788</v>
      </c>
    </row>
    <row r="3" customFormat="false" ht="15" hidden="false" customHeight="false" outlineLevel="0" collapsed="false">
      <c r="A3" s="5" t="s">
        <v>466</v>
      </c>
      <c r="B3" s="5" t="s">
        <v>69</v>
      </c>
      <c r="C3" s="5" t="s">
        <v>429</v>
      </c>
      <c r="D3" s="5" t="s">
        <v>472</v>
      </c>
      <c r="E3" s="5" t="s">
        <v>1524</v>
      </c>
      <c r="F3" s="5" t="s">
        <v>1789</v>
      </c>
      <c r="G3" s="5" t="s">
        <v>1790</v>
      </c>
    </row>
    <row r="4" customFormat="false" ht="15" hidden="false" customHeight="false" outlineLevel="0" collapsed="false">
      <c r="A4" s="5" t="s">
        <v>217</v>
      </c>
      <c r="B4" s="5" t="s">
        <v>69</v>
      </c>
      <c r="C4" s="5" t="s">
        <v>182</v>
      </c>
      <c r="D4" s="5" t="s">
        <v>223</v>
      </c>
      <c r="E4" s="5" t="s">
        <v>1524</v>
      </c>
      <c r="F4" s="5" t="s">
        <v>1789</v>
      </c>
      <c r="G4" s="5" t="s">
        <v>1790</v>
      </c>
    </row>
    <row r="5" customFormat="false" ht="15" hidden="false" customHeight="false" outlineLevel="0" collapsed="false">
      <c r="A5" s="5" t="s">
        <v>143</v>
      </c>
      <c r="B5" s="5" t="s">
        <v>69</v>
      </c>
      <c r="C5" s="5" t="s">
        <v>127</v>
      </c>
      <c r="D5" s="5" t="s">
        <v>150</v>
      </c>
      <c r="E5" s="5" t="s">
        <v>1524</v>
      </c>
      <c r="F5" s="5" t="s">
        <v>1789</v>
      </c>
      <c r="G5" s="5" t="s">
        <v>1790</v>
      </c>
    </row>
    <row r="6" customFormat="false" ht="15" hidden="false" customHeight="false" outlineLevel="0" collapsed="false">
      <c r="A6" s="5" t="s">
        <v>515</v>
      </c>
      <c r="B6" s="5" t="s">
        <v>69</v>
      </c>
      <c r="C6" s="5" t="s">
        <v>493</v>
      </c>
      <c r="D6" s="5" t="s">
        <v>522</v>
      </c>
      <c r="E6" s="5" t="s">
        <v>1524</v>
      </c>
      <c r="F6" s="5" t="s">
        <v>1789</v>
      </c>
      <c r="G6" s="5" t="s">
        <v>1790</v>
      </c>
    </row>
    <row r="7" customFormat="false" ht="15" hidden="false" customHeight="false" outlineLevel="0" collapsed="false">
      <c r="A7" s="5" t="s">
        <v>314</v>
      </c>
      <c r="B7" s="5" t="s">
        <v>69</v>
      </c>
      <c r="C7" s="5" t="s">
        <v>306</v>
      </c>
      <c r="D7" s="5" t="s">
        <v>320</v>
      </c>
      <c r="E7" s="5" t="s">
        <v>1524</v>
      </c>
      <c r="F7" s="5" t="s">
        <v>1789</v>
      </c>
      <c r="G7" s="5" t="s">
        <v>1790</v>
      </c>
    </row>
    <row r="8" customFormat="false" ht="15" hidden="false" customHeight="false" outlineLevel="0" collapsed="false">
      <c r="A8" s="5" t="s">
        <v>481</v>
      </c>
      <c r="B8" s="5" t="s">
        <v>69</v>
      </c>
      <c r="C8" s="5" t="s">
        <v>429</v>
      </c>
      <c r="D8" s="5" t="s">
        <v>486</v>
      </c>
      <c r="E8" s="5" t="s">
        <v>1524</v>
      </c>
      <c r="F8" s="5" t="s">
        <v>1789</v>
      </c>
      <c r="G8" s="5" t="s">
        <v>1790</v>
      </c>
    </row>
    <row r="9" customFormat="false" ht="15" hidden="false" customHeight="false" outlineLevel="0" collapsed="false">
      <c r="A9" s="5" t="s">
        <v>400</v>
      </c>
      <c r="B9" s="5" t="s">
        <v>69</v>
      </c>
      <c r="C9" s="5" t="s">
        <v>360</v>
      </c>
      <c r="D9" s="5" t="s">
        <v>405</v>
      </c>
      <c r="E9" s="5" t="s">
        <v>1524</v>
      </c>
      <c r="F9" s="5" t="s">
        <v>1789</v>
      </c>
      <c r="G9" s="5" t="s">
        <v>1790</v>
      </c>
    </row>
    <row r="10" customFormat="false" ht="15" hidden="false" customHeight="false" outlineLevel="0" collapsed="false">
      <c r="A10" s="5" t="s">
        <v>474</v>
      </c>
      <c r="B10" s="5" t="s">
        <v>69</v>
      </c>
      <c r="C10" s="5" t="s">
        <v>429</v>
      </c>
      <c r="D10" s="5" t="s">
        <v>479</v>
      </c>
      <c r="E10" s="5" t="s">
        <v>1524</v>
      </c>
      <c r="F10" s="5" t="s">
        <v>1789</v>
      </c>
      <c r="G10" s="5" t="s">
        <v>1790</v>
      </c>
    </row>
    <row r="11" customFormat="false" ht="15" hidden="false" customHeight="false" outlineLevel="0" collapsed="false">
      <c r="A11" s="5" t="s">
        <v>347</v>
      </c>
      <c r="B11" s="5" t="s">
        <v>69</v>
      </c>
      <c r="C11" s="5" t="s">
        <v>306</v>
      </c>
      <c r="D11" s="5" t="s">
        <v>353</v>
      </c>
      <c r="E11" s="5" t="s">
        <v>1524</v>
      </c>
      <c r="F11" s="5" t="s">
        <v>1789</v>
      </c>
      <c r="G11" s="5" t="s">
        <v>1790</v>
      </c>
    </row>
    <row r="12" customFormat="false" ht="15" hidden="false" customHeight="false" outlineLevel="0" collapsed="false">
      <c r="A12" s="5" t="s">
        <v>384</v>
      </c>
      <c r="B12" s="5" t="s">
        <v>69</v>
      </c>
      <c r="C12" s="5" t="s">
        <v>360</v>
      </c>
      <c r="D12" s="5" t="s">
        <v>390</v>
      </c>
      <c r="E12" s="5" t="s">
        <v>1524</v>
      </c>
      <c r="F12" s="5" t="s">
        <v>1789</v>
      </c>
      <c r="G12" s="5" t="s">
        <v>1790</v>
      </c>
    </row>
    <row r="13" customFormat="false" ht="15" hidden="false" customHeight="false" outlineLevel="0" collapsed="false">
      <c r="A13" s="5" t="s">
        <v>444</v>
      </c>
      <c r="B13" s="5" t="s">
        <v>69</v>
      </c>
      <c r="C13" s="5" t="s">
        <v>429</v>
      </c>
      <c r="D13" s="5" t="s">
        <v>450</v>
      </c>
      <c r="E13" s="5" t="s">
        <v>1524</v>
      </c>
      <c r="F13" s="5" t="s">
        <v>1789</v>
      </c>
      <c r="G13" s="5" t="s">
        <v>1790</v>
      </c>
    </row>
    <row r="14" customFormat="false" ht="15" hidden="false" customHeight="false" outlineLevel="0" collapsed="false">
      <c r="A14" s="5" t="s">
        <v>293</v>
      </c>
      <c r="B14" s="5" t="s">
        <v>69</v>
      </c>
      <c r="C14" s="5" t="s">
        <v>238</v>
      </c>
      <c r="D14" s="5" t="s">
        <v>299</v>
      </c>
      <c r="E14" s="5" t="s">
        <v>1524</v>
      </c>
      <c r="F14" s="5" t="s">
        <v>1789</v>
      </c>
      <c r="G14" s="5" t="s">
        <v>1790</v>
      </c>
    </row>
    <row r="15" customFormat="false" ht="15" hidden="false" customHeight="false" outlineLevel="0" collapsed="false">
      <c r="A15" s="5" t="s">
        <v>279</v>
      </c>
      <c r="B15" s="5" t="s">
        <v>69</v>
      </c>
      <c r="C15" s="5" t="s">
        <v>238</v>
      </c>
      <c r="D15" s="5" t="s">
        <v>284</v>
      </c>
      <c r="E15" s="5" t="s">
        <v>1524</v>
      </c>
      <c r="F15" s="5" t="s">
        <v>1789</v>
      </c>
      <c r="G15" s="5" t="s">
        <v>1790</v>
      </c>
    </row>
    <row r="16" customFormat="false" ht="15" hidden="false" customHeight="false" outlineLevel="0" collapsed="false">
      <c r="A16" s="5" t="s">
        <v>161</v>
      </c>
      <c r="B16" s="5" t="s">
        <v>69</v>
      </c>
      <c r="C16" s="5" t="s">
        <v>127</v>
      </c>
      <c r="D16" s="5" t="s">
        <v>168</v>
      </c>
      <c r="E16" s="5" t="s">
        <v>1524</v>
      </c>
      <c r="F16" s="5" t="s">
        <v>1789</v>
      </c>
      <c r="G16" s="5" t="s">
        <v>1790</v>
      </c>
    </row>
    <row r="17" customFormat="false" ht="15" hidden="false" customHeight="false" outlineLevel="0" collapsed="false">
      <c r="A17" s="5" t="s">
        <v>152</v>
      </c>
      <c r="B17" s="5" t="s">
        <v>69</v>
      </c>
      <c r="C17" s="5" t="s">
        <v>127</v>
      </c>
      <c r="D17" s="5" t="s">
        <v>159</v>
      </c>
      <c r="E17" s="5" t="s">
        <v>1524</v>
      </c>
      <c r="F17" s="5" t="s">
        <v>1789</v>
      </c>
      <c r="G17" s="5" t="s">
        <v>1790</v>
      </c>
    </row>
    <row r="18" customFormat="false" ht="15" hidden="false" customHeight="false" outlineLevel="0" collapsed="false">
      <c r="A18" s="5" t="s">
        <v>176</v>
      </c>
      <c r="B18" s="5" t="s">
        <v>69</v>
      </c>
      <c r="C18" s="5" t="s">
        <v>182</v>
      </c>
      <c r="D18" s="5" t="s">
        <v>190</v>
      </c>
      <c r="E18" s="5" t="s">
        <v>1524</v>
      </c>
      <c r="F18" s="5" t="s">
        <v>1789</v>
      </c>
      <c r="G18" s="5" t="s">
        <v>1790</v>
      </c>
    </row>
    <row r="19" customFormat="false" ht="15" hidden="false" customHeight="false" outlineLevel="0" collapsed="false">
      <c r="A19" s="5" t="s">
        <v>301</v>
      </c>
      <c r="B19" s="5" t="s">
        <v>69</v>
      </c>
      <c r="C19" s="5" t="s">
        <v>306</v>
      </c>
      <c r="D19" s="5" t="s">
        <v>312</v>
      </c>
      <c r="E19" s="5" t="s">
        <v>1524</v>
      </c>
      <c r="F19" s="5" t="s">
        <v>1789</v>
      </c>
      <c r="G19" s="5" t="s">
        <v>1790</v>
      </c>
    </row>
    <row r="20" customFormat="false" ht="15" hidden="false" customHeight="false" outlineLevel="0" collapsed="false">
      <c r="A20" s="5" t="s">
        <v>546</v>
      </c>
      <c r="B20" s="5" t="s">
        <v>69</v>
      </c>
      <c r="C20" s="5" t="s">
        <v>493</v>
      </c>
      <c r="D20" s="5" t="s">
        <v>551</v>
      </c>
      <c r="E20" s="5" t="s">
        <v>1524</v>
      </c>
      <c r="F20" s="5" t="s">
        <v>1789</v>
      </c>
      <c r="G20" s="5" t="s">
        <v>1790</v>
      </c>
    </row>
    <row r="21" customFormat="false" ht="15" hidden="false" customHeight="false" outlineLevel="0" collapsed="false">
      <c r="A21" s="5" t="s">
        <v>508</v>
      </c>
      <c r="B21" s="5" t="s">
        <v>69</v>
      </c>
      <c r="C21" s="5" t="s">
        <v>493</v>
      </c>
      <c r="D21" s="5" t="s">
        <v>513</v>
      </c>
      <c r="E21" s="5" t="s">
        <v>1524</v>
      </c>
      <c r="F21" s="5" t="s">
        <v>1789</v>
      </c>
      <c r="G21" s="5" t="s">
        <v>1790</v>
      </c>
    </row>
    <row r="22" customFormat="false" ht="15" hidden="false" customHeight="false" outlineLevel="0" collapsed="false">
      <c r="A22" s="5" t="s">
        <v>263</v>
      </c>
      <c r="B22" s="5" t="s">
        <v>69</v>
      </c>
      <c r="C22" s="5" t="s">
        <v>238</v>
      </c>
      <c r="D22" s="5" t="s">
        <v>269</v>
      </c>
      <c r="E22" s="5" t="s">
        <v>1524</v>
      </c>
      <c r="F22" s="5" t="s">
        <v>1789</v>
      </c>
      <c r="G22" s="5" t="s">
        <v>1790</v>
      </c>
    </row>
    <row r="23" customFormat="false" ht="15" hidden="false" customHeight="false" outlineLevel="0" collapsed="false">
      <c r="A23" s="5" t="s">
        <v>407</v>
      </c>
      <c r="B23" s="5" t="s">
        <v>69</v>
      </c>
      <c r="C23" s="5" t="s">
        <v>360</v>
      </c>
      <c r="D23" s="5" t="s">
        <v>414</v>
      </c>
      <c r="E23" s="5" t="s">
        <v>1524</v>
      </c>
      <c r="F23" s="5" t="s">
        <v>1789</v>
      </c>
      <c r="G23" s="5" t="s">
        <v>1790</v>
      </c>
    </row>
    <row r="24" customFormat="false" ht="15" hidden="false" customHeight="false" outlineLevel="0" collapsed="false">
      <c r="A24" s="5" t="s">
        <v>286</v>
      </c>
      <c r="B24" s="5" t="s">
        <v>69</v>
      </c>
      <c r="C24" s="5" t="s">
        <v>238</v>
      </c>
      <c r="D24" s="5" t="s">
        <v>291</v>
      </c>
      <c r="E24" s="5" t="s">
        <v>1524</v>
      </c>
      <c r="F24" s="5" t="s">
        <v>1789</v>
      </c>
      <c r="G24" s="5" t="s">
        <v>1790</v>
      </c>
    </row>
    <row r="25" customFormat="false" ht="15" hidden="false" customHeight="false" outlineLevel="0" collapsed="false">
      <c r="A25" s="5" t="s">
        <v>824</v>
      </c>
      <c r="B25" s="5" t="s">
        <v>69</v>
      </c>
      <c r="C25" s="5" t="s">
        <v>770</v>
      </c>
      <c r="D25" s="5" t="s">
        <v>830</v>
      </c>
      <c r="E25" s="5" t="s">
        <v>1522</v>
      </c>
      <c r="F25" s="5" t="s">
        <v>1791</v>
      </c>
      <c r="G25" s="5" t="s">
        <v>1792</v>
      </c>
    </row>
    <row r="26" customFormat="false" ht="15" hidden="false" customHeight="false" outlineLevel="0" collapsed="false">
      <c r="A26" s="5" t="s">
        <v>569</v>
      </c>
      <c r="B26" s="5" t="s">
        <v>69</v>
      </c>
      <c r="C26" s="5" t="s">
        <v>559</v>
      </c>
      <c r="D26" s="5" t="s">
        <v>576</v>
      </c>
      <c r="E26" s="5" t="s">
        <v>1522</v>
      </c>
      <c r="F26" s="5" t="s">
        <v>1791</v>
      </c>
      <c r="G26" s="5" t="s">
        <v>1792</v>
      </c>
    </row>
    <row r="27" customFormat="false" ht="15" hidden="false" customHeight="false" outlineLevel="0" collapsed="false">
      <c r="A27" s="5" t="s">
        <v>664</v>
      </c>
      <c r="B27" s="5" t="s">
        <v>69</v>
      </c>
      <c r="C27" s="5" t="s">
        <v>632</v>
      </c>
      <c r="D27" s="5" t="s">
        <v>670</v>
      </c>
      <c r="E27" s="5" t="s">
        <v>1522</v>
      </c>
      <c r="F27" s="5" t="s">
        <v>1791</v>
      </c>
      <c r="G27" s="5" t="s">
        <v>1793</v>
      </c>
    </row>
    <row r="28" customFormat="false" ht="15" hidden="false" customHeight="false" outlineLevel="0" collapsed="false">
      <c r="A28" s="5" t="s">
        <v>887</v>
      </c>
      <c r="B28" s="5" t="s">
        <v>69</v>
      </c>
      <c r="C28" s="5" t="s">
        <v>836</v>
      </c>
      <c r="D28" s="5" t="s">
        <v>893</v>
      </c>
      <c r="E28" s="5" t="s">
        <v>1522</v>
      </c>
      <c r="F28" s="5" t="s">
        <v>1791</v>
      </c>
      <c r="G28" s="5" t="s">
        <v>1792</v>
      </c>
    </row>
    <row r="29" customFormat="false" ht="15" hidden="false" customHeight="false" outlineLevel="0" collapsed="false">
      <c r="A29" s="5" t="s">
        <v>808</v>
      </c>
      <c r="B29" s="5" t="s">
        <v>69</v>
      </c>
      <c r="C29" s="5" t="s">
        <v>770</v>
      </c>
      <c r="D29" s="5" t="s">
        <v>814</v>
      </c>
      <c r="E29" s="5" t="s">
        <v>1522</v>
      </c>
      <c r="F29" s="5" t="s">
        <v>1791</v>
      </c>
      <c r="G29" s="5" t="s">
        <v>1792</v>
      </c>
    </row>
    <row r="30" customFormat="false" ht="15" hidden="false" customHeight="false" outlineLevel="0" collapsed="false">
      <c r="A30" s="5" t="s">
        <v>845</v>
      </c>
      <c r="B30" s="5" t="s">
        <v>69</v>
      </c>
      <c r="C30" s="5" t="s">
        <v>836</v>
      </c>
      <c r="D30" s="5" t="s">
        <v>853</v>
      </c>
      <c r="E30" s="5" t="s">
        <v>1522</v>
      </c>
      <c r="F30" s="5" t="s">
        <v>1791</v>
      </c>
      <c r="G30" s="5" t="s">
        <v>1792</v>
      </c>
    </row>
    <row r="31" customFormat="false" ht="15" hidden="false" customHeight="false" outlineLevel="0" collapsed="false">
      <c r="A31" s="5" t="s">
        <v>855</v>
      </c>
      <c r="B31" s="5" t="s">
        <v>69</v>
      </c>
      <c r="C31" s="5" t="s">
        <v>836</v>
      </c>
      <c r="D31" s="5" t="s">
        <v>861</v>
      </c>
      <c r="E31" s="5" t="s">
        <v>1522</v>
      </c>
      <c r="F31" s="5" t="s">
        <v>1791</v>
      </c>
      <c r="G31" s="5" t="s">
        <v>1792</v>
      </c>
    </row>
    <row r="32" customFormat="false" ht="15" hidden="false" customHeight="false" outlineLevel="0" collapsed="false">
      <c r="A32" s="5" t="s">
        <v>863</v>
      </c>
      <c r="B32" s="5" t="s">
        <v>69</v>
      </c>
      <c r="C32" s="5" t="s">
        <v>836</v>
      </c>
      <c r="D32" s="5" t="s">
        <v>870</v>
      </c>
      <c r="E32" s="5" t="s">
        <v>1522</v>
      </c>
      <c r="F32" s="5" t="s">
        <v>1791</v>
      </c>
      <c r="G32" s="5" t="s">
        <v>1792</v>
      </c>
    </row>
    <row r="33" customFormat="false" ht="15" hidden="false" customHeight="false" outlineLevel="0" collapsed="false">
      <c r="A33" s="5" t="s">
        <v>724</v>
      </c>
      <c r="B33" s="5" t="s">
        <v>69</v>
      </c>
      <c r="C33" s="5" t="s">
        <v>693</v>
      </c>
      <c r="D33" s="5" t="s">
        <v>730</v>
      </c>
      <c r="E33" s="5" t="s">
        <v>1522</v>
      </c>
      <c r="F33" s="5" t="s">
        <v>1791</v>
      </c>
      <c r="G33" s="5" t="s">
        <v>1794</v>
      </c>
    </row>
    <row r="34" customFormat="false" ht="15" hidden="false" customHeight="false" outlineLevel="0" collapsed="false">
      <c r="A34" s="5" t="s">
        <v>716</v>
      </c>
      <c r="B34" s="5" t="s">
        <v>69</v>
      </c>
      <c r="C34" s="5" t="s">
        <v>693</v>
      </c>
      <c r="D34" s="5" t="s">
        <v>722</v>
      </c>
      <c r="E34" s="5" t="s">
        <v>1522</v>
      </c>
      <c r="F34" s="5" t="s">
        <v>1791</v>
      </c>
      <c r="G34" s="5" t="s">
        <v>1794</v>
      </c>
    </row>
    <row r="35" customFormat="false" ht="15" hidden="false" customHeight="false" outlineLevel="0" collapsed="false">
      <c r="A35" s="5" t="s">
        <v>593</v>
      </c>
      <c r="B35" s="5" t="s">
        <v>69</v>
      </c>
      <c r="C35" s="5" t="s">
        <v>559</v>
      </c>
      <c r="D35" s="5" t="s">
        <v>599</v>
      </c>
      <c r="E35" s="5" t="s">
        <v>1522</v>
      </c>
      <c r="F35" s="5" t="s">
        <v>1791</v>
      </c>
      <c r="G35" s="5" t="s">
        <v>1792</v>
      </c>
    </row>
    <row r="36" customFormat="false" ht="15" hidden="false" customHeight="false" outlineLevel="0" collapsed="false">
      <c r="A36" s="5" t="s">
        <v>1119</v>
      </c>
      <c r="B36" s="5" t="s">
        <v>69</v>
      </c>
      <c r="C36" s="5" t="s">
        <v>519</v>
      </c>
      <c r="D36" s="5" t="s">
        <v>1125</v>
      </c>
      <c r="E36" s="5" t="s">
        <v>1522</v>
      </c>
      <c r="F36" s="5" t="s">
        <v>1791</v>
      </c>
      <c r="G36" s="5" t="s">
        <v>1792</v>
      </c>
    </row>
    <row r="37" customFormat="false" ht="15" hidden="false" customHeight="false" outlineLevel="0" collapsed="false">
      <c r="A37" s="5" t="s">
        <v>1111</v>
      </c>
      <c r="B37" s="5" t="s">
        <v>69</v>
      </c>
      <c r="C37" s="5" t="s">
        <v>519</v>
      </c>
      <c r="D37" s="5" t="s">
        <v>1117</v>
      </c>
      <c r="E37" s="5" t="s">
        <v>1522</v>
      </c>
      <c r="F37" s="5" t="s">
        <v>1791</v>
      </c>
      <c r="G37" s="5" t="s">
        <v>1792</v>
      </c>
    </row>
    <row r="38" customFormat="false" ht="15" hidden="false" customHeight="false" outlineLevel="0" collapsed="false">
      <c r="A38" s="5" t="s">
        <v>976</v>
      </c>
      <c r="B38" s="5" t="s">
        <v>69</v>
      </c>
      <c r="C38" s="5" t="s">
        <v>837</v>
      </c>
      <c r="D38" s="5" t="s">
        <v>987</v>
      </c>
      <c r="E38" s="5" t="s">
        <v>1522</v>
      </c>
      <c r="F38" s="5" t="s">
        <v>1791</v>
      </c>
      <c r="G38" s="5" t="s">
        <v>1792</v>
      </c>
    </row>
    <row r="39" customFormat="false" ht="15" hidden="false" customHeight="false" outlineLevel="0" collapsed="false">
      <c r="A39" s="5" t="s">
        <v>647</v>
      </c>
      <c r="B39" s="5" t="s">
        <v>69</v>
      </c>
      <c r="C39" s="5" t="s">
        <v>632</v>
      </c>
      <c r="D39" s="5" t="s">
        <v>653</v>
      </c>
      <c r="E39" s="5" t="s">
        <v>1522</v>
      </c>
      <c r="F39" s="5" t="s">
        <v>1791</v>
      </c>
      <c r="G39" s="5" t="s">
        <v>1793</v>
      </c>
    </row>
    <row r="40" customFormat="false" ht="15" hidden="false" customHeight="false" outlineLevel="0" collapsed="false">
      <c r="A40" s="5" t="s">
        <v>1086</v>
      </c>
      <c r="B40" s="5" t="s">
        <v>69</v>
      </c>
      <c r="C40" s="5" t="s">
        <v>519</v>
      </c>
      <c r="D40" s="5" t="s">
        <v>1092</v>
      </c>
      <c r="E40" s="5" t="s">
        <v>1521</v>
      </c>
      <c r="F40" s="5" t="s">
        <v>1795</v>
      </c>
      <c r="G40" s="5" t="s">
        <v>1796</v>
      </c>
    </row>
    <row r="41" customFormat="false" ht="15" hidden="false" customHeight="false" outlineLevel="0" collapsed="false">
      <c r="A41" s="5" t="s">
        <v>1078</v>
      </c>
      <c r="B41" s="5" t="s">
        <v>69</v>
      </c>
      <c r="C41" s="5" t="s">
        <v>519</v>
      </c>
      <c r="D41" s="5" t="s">
        <v>1084</v>
      </c>
      <c r="E41" s="5" t="s">
        <v>1521</v>
      </c>
      <c r="F41" s="5" t="s">
        <v>1795</v>
      </c>
      <c r="G41" s="5" t="s">
        <v>1796</v>
      </c>
    </row>
    <row r="42" customFormat="false" ht="15" hidden="false" customHeight="false" outlineLevel="0" collapsed="false">
      <c r="A42" s="5" t="s">
        <v>531</v>
      </c>
      <c r="B42" s="5" t="s">
        <v>69</v>
      </c>
      <c r="C42" s="5" t="s">
        <v>493</v>
      </c>
      <c r="D42" s="5" t="s">
        <v>537</v>
      </c>
      <c r="E42" s="5" t="s">
        <v>1521</v>
      </c>
      <c r="F42" s="5" t="s">
        <v>1797</v>
      </c>
      <c r="G42" s="5" t="s">
        <v>1798</v>
      </c>
    </row>
    <row r="43" customFormat="false" ht="15" hidden="false" customHeight="false" outlineLevel="0" collapsed="false">
      <c r="A43" s="5" t="s">
        <v>192</v>
      </c>
      <c r="B43" s="5" t="s">
        <v>69</v>
      </c>
      <c r="C43" s="5" t="s">
        <v>182</v>
      </c>
      <c r="D43" s="5" t="s">
        <v>198</v>
      </c>
      <c r="E43" s="5" t="s">
        <v>1523</v>
      </c>
      <c r="F43" s="5" t="s">
        <v>1799</v>
      </c>
      <c r="G43" s="5" t="s">
        <v>1800</v>
      </c>
    </row>
    <row r="44" customFormat="false" ht="15" hidden="false" customHeight="false" outlineLevel="0" collapsed="false">
      <c r="A44" s="5" t="s">
        <v>60</v>
      </c>
      <c r="B44" s="5" t="s">
        <v>69</v>
      </c>
      <c r="C44" s="5" t="s">
        <v>45</v>
      </c>
      <c r="D44" s="5" t="s">
        <v>67</v>
      </c>
      <c r="E44" s="5" t="s">
        <v>1523</v>
      </c>
      <c r="F44" s="5" t="s">
        <v>1799</v>
      </c>
      <c r="G44" s="5" t="s">
        <v>1801</v>
      </c>
    </row>
    <row r="45" customFormat="false" ht="15" hidden="false" customHeight="false" outlineLevel="0" collapsed="false">
      <c r="A45" s="5" t="s">
        <v>997</v>
      </c>
      <c r="B45" s="5" t="s">
        <v>69</v>
      </c>
      <c r="C45" s="5" t="s">
        <v>837</v>
      </c>
      <c r="D45" s="5" t="s">
        <v>1003</v>
      </c>
      <c r="E45" s="5" t="s">
        <v>1525</v>
      </c>
      <c r="F45" s="5" t="s">
        <v>1802</v>
      </c>
      <c r="G45" s="5" t="s">
        <v>1803</v>
      </c>
    </row>
    <row r="46" customFormat="false" ht="15" hidden="false" customHeight="false" outlineLevel="0" collapsed="false">
      <c r="A46" s="5" t="s">
        <v>459</v>
      </c>
      <c r="B46" s="5" t="s">
        <v>112</v>
      </c>
      <c r="C46" s="5" t="s">
        <v>429</v>
      </c>
      <c r="D46" s="5" t="s">
        <v>464</v>
      </c>
      <c r="E46" s="5" t="s">
        <v>1524</v>
      </c>
      <c r="F46" s="5" t="s">
        <v>1789</v>
      </c>
      <c r="G46" s="5" t="s">
        <v>1790</v>
      </c>
    </row>
    <row r="47" customFormat="false" ht="15" hidden="false" customHeight="false" outlineLevel="0" collapsed="false">
      <c r="A47" s="5" t="s">
        <v>376</v>
      </c>
      <c r="B47" s="5" t="s">
        <v>112</v>
      </c>
      <c r="C47" s="5" t="s">
        <v>360</v>
      </c>
      <c r="D47" s="5" t="s">
        <v>382</v>
      </c>
      <c r="E47" s="5" t="s">
        <v>1524</v>
      </c>
      <c r="F47" s="5" t="s">
        <v>1804</v>
      </c>
      <c r="G47" s="5" t="s">
        <v>1805</v>
      </c>
    </row>
    <row r="48" customFormat="false" ht="15" hidden="false" customHeight="false" outlineLevel="0" collapsed="false">
      <c r="A48" s="5" t="s">
        <v>339</v>
      </c>
      <c r="B48" s="5" t="s">
        <v>112</v>
      </c>
      <c r="C48" s="5" t="s">
        <v>306</v>
      </c>
      <c r="D48" s="5" t="s">
        <v>345</v>
      </c>
      <c r="E48" s="5" t="s">
        <v>1524</v>
      </c>
      <c r="F48" s="5" t="s">
        <v>1789</v>
      </c>
      <c r="G48" s="5" t="s">
        <v>1790</v>
      </c>
    </row>
    <row r="49" customFormat="false" ht="15" hidden="false" customHeight="false" outlineLevel="0" collapsed="false">
      <c r="A49" s="5" t="s">
        <v>424</v>
      </c>
      <c r="B49" s="5" t="s">
        <v>112</v>
      </c>
      <c r="C49" s="5" t="s">
        <v>429</v>
      </c>
      <c r="D49" s="5" t="s">
        <v>434</v>
      </c>
      <c r="E49" s="5" t="s">
        <v>1524</v>
      </c>
      <c r="F49" s="5" t="s">
        <v>1789</v>
      </c>
      <c r="G49" s="5" t="s">
        <v>1790</v>
      </c>
    </row>
    <row r="50" customFormat="false" ht="15" hidden="false" customHeight="false" outlineLevel="0" collapsed="false">
      <c r="A50" s="5" t="s">
        <v>200</v>
      </c>
      <c r="B50" s="5" t="s">
        <v>112</v>
      </c>
      <c r="C50" s="5" t="s">
        <v>182</v>
      </c>
      <c r="D50" s="5" t="s">
        <v>206</v>
      </c>
      <c r="E50" s="5" t="s">
        <v>1524</v>
      </c>
      <c r="F50" s="5" t="s">
        <v>1789</v>
      </c>
      <c r="G50" s="5" t="s">
        <v>1790</v>
      </c>
    </row>
    <row r="51" customFormat="false" ht="15" hidden="false" customHeight="false" outlineLevel="0" collapsed="false">
      <c r="A51" s="5" t="s">
        <v>1013</v>
      </c>
      <c r="B51" s="5" t="s">
        <v>112</v>
      </c>
      <c r="C51" s="5" t="s">
        <v>837</v>
      </c>
      <c r="D51" s="5" t="s">
        <v>1019</v>
      </c>
      <c r="E51" s="5" t="s">
        <v>1524</v>
      </c>
      <c r="F51" s="5" t="s">
        <v>1789</v>
      </c>
      <c r="G51" s="5" t="s">
        <v>1790</v>
      </c>
    </row>
    <row r="52" customFormat="false" ht="15" hidden="false" customHeight="false" outlineLevel="0" collapsed="false">
      <c r="A52" s="5" t="s">
        <v>416</v>
      </c>
      <c r="B52" s="5" t="s">
        <v>112</v>
      </c>
      <c r="C52" s="5" t="s">
        <v>360</v>
      </c>
      <c r="D52" s="5" t="s">
        <v>422</v>
      </c>
      <c r="E52" s="5" t="s">
        <v>1524</v>
      </c>
      <c r="F52" s="5" t="s">
        <v>1789</v>
      </c>
      <c r="G52" s="5" t="s">
        <v>1790</v>
      </c>
    </row>
    <row r="53" customFormat="false" ht="15" hidden="false" customHeight="false" outlineLevel="0" collapsed="false">
      <c r="A53" s="5" t="s">
        <v>104</v>
      </c>
      <c r="B53" s="5" t="s">
        <v>112</v>
      </c>
      <c r="C53" s="5" t="s">
        <v>45</v>
      </c>
      <c r="D53" s="5" t="s">
        <v>111</v>
      </c>
      <c r="E53" s="5" t="s">
        <v>1524</v>
      </c>
      <c r="F53" s="5" t="s">
        <v>1789</v>
      </c>
      <c r="G53" s="5" t="s">
        <v>1790</v>
      </c>
    </row>
    <row r="54" customFormat="false" ht="15" hidden="false" customHeight="false" outlineLevel="0" collapsed="false">
      <c r="A54" s="5" t="s">
        <v>331</v>
      </c>
      <c r="B54" s="5" t="s">
        <v>112</v>
      </c>
      <c r="C54" s="5" t="s">
        <v>306</v>
      </c>
      <c r="D54" s="5" t="s">
        <v>337</v>
      </c>
      <c r="E54" s="5" t="s">
        <v>1524</v>
      </c>
      <c r="F54" s="5" t="s">
        <v>1789</v>
      </c>
      <c r="G54" s="5" t="s">
        <v>1790</v>
      </c>
    </row>
    <row r="55" customFormat="false" ht="15" hidden="false" customHeight="false" outlineLevel="0" collapsed="false">
      <c r="A55" s="5" t="s">
        <v>254</v>
      </c>
      <c r="B55" s="5" t="s">
        <v>112</v>
      </c>
      <c r="C55" s="5" t="s">
        <v>238</v>
      </c>
      <c r="D55" s="5" t="s">
        <v>261</v>
      </c>
      <c r="E55" s="5" t="s">
        <v>1524</v>
      </c>
      <c r="F55" s="5" t="s">
        <v>1789</v>
      </c>
      <c r="G55" s="5" t="s">
        <v>1790</v>
      </c>
    </row>
    <row r="56" customFormat="false" ht="15" hidden="false" customHeight="false" outlineLevel="0" collapsed="false">
      <c r="A56" s="5" t="s">
        <v>122</v>
      </c>
      <c r="B56" s="5" t="s">
        <v>112</v>
      </c>
      <c r="C56" s="5" t="s">
        <v>127</v>
      </c>
      <c r="D56" s="5" t="s">
        <v>133</v>
      </c>
      <c r="E56" s="5" t="s">
        <v>1524</v>
      </c>
      <c r="F56" s="5" t="s">
        <v>1806</v>
      </c>
      <c r="G56" s="5" t="s">
        <v>1807</v>
      </c>
    </row>
    <row r="57" customFormat="false" ht="15" hidden="false" customHeight="false" outlineLevel="0" collapsed="false">
      <c r="A57" s="5" t="s">
        <v>524</v>
      </c>
      <c r="B57" s="5" t="s">
        <v>112</v>
      </c>
      <c r="C57" s="5" t="s">
        <v>493</v>
      </c>
      <c r="D57" s="5" t="s">
        <v>529</v>
      </c>
      <c r="E57" s="5" t="s">
        <v>1524</v>
      </c>
      <c r="F57" s="5" t="s">
        <v>1789</v>
      </c>
      <c r="G57" s="5" t="s">
        <v>1790</v>
      </c>
    </row>
    <row r="58" customFormat="false" ht="15" hidden="false" customHeight="false" outlineLevel="0" collapsed="false">
      <c r="A58" s="5" t="s">
        <v>322</v>
      </c>
      <c r="B58" s="5" t="s">
        <v>112</v>
      </c>
      <c r="C58" s="5" t="s">
        <v>306</v>
      </c>
      <c r="D58" s="5" t="s">
        <v>329</v>
      </c>
      <c r="E58" s="5" t="s">
        <v>1524</v>
      </c>
      <c r="F58" s="5" t="s">
        <v>1789</v>
      </c>
      <c r="G58" s="5" t="s">
        <v>1790</v>
      </c>
    </row>
    <row r="59" customFormat="false" ht="15" hidden="false" customHeight="false" outlineLevel="0" collapsed="false">
      <c r="A59" s="5" t="s">
        <v>233</v>
      </c>
      <c r="B59" s="5" t="s">
        <v>112</v>
      </c>
      <c r="C59" s="5" t="s">
        <v>238</v>
      </c>
      <c r="D59" s="5" t="s">
        <v>244</v>
      </c>
      <c r="E59" s="5" t="s">
        <v>1524</v>
      </c>
      <c r="F59" s="5" t="s">
        <v>1789</v>
      </c>
      <c r="G59" s="5" t="s">
        <v>1790</v>
      </c>
    </row>
    <row r="60" customFormat="false" ht="15" hidden="false" customHeight="false" outlineLevel="0" collapsed="false">
      <c r="A60" s="5" t="s">
        <v>355</v>
      </c>
      <c r="B60" s="5" t="s">
        <v>112</v>
      </c>
      <c r="C60" s="5" t="s">
        <v>360</v>
      </c>
      <c r="D60" s="5" t="s">
        <v>366</v>
      </c>
      <c r="E60" s="5" t="s">
        <v>1524</v>
      </c>
      <c r="F60" s="5" t="s">
        <v>1789</v>
      </c>
      <c r="G60" s="5" t="s">
        <v>1790</v>
      </c>
    </row>
    <row r="61" customFormat="false" ht="15" hidden="false" customHeight="false" outlineLevel="0" collapsed="false">
      <c r="A61" s="5" t="s">
        <v>488</v>
      </c>
      <c r="B61" s="5" t="s">
        <v>112</v>
      </c>
      <c r="C61" s="5" t="s">
        <v>493</v>
      </c>
      <c r="D61" s="5" t="s">
        <v>498</v>
      </c>
      <c r="E61" s="5" t="s">
        <v>1524</v>
      </c>
      <c r="F61" s="5" t="s">
        <v>1789</v>
      </c>
      <c r="G61" s="5" t="s">
        <v>1790</v>
      </c>
    </row>
    <row r="62" customFormat="false" ht="15" hidden="false" customHeight="false" outlineLevel="0" collapsed="false">
      <c r="A62" s="5" t="s">
        <v>246</v>
      </c>
      <c r="B62" s="5" t="s">
        <v>112</v>
      </c>
      <c r="C62" s="5" t="s">
        <v>238</v>
      </c>
      <c r="D62" s="5" t="s">
        <v>252</v>
      </c>
      <c r="E62" s="5" t="s">
        <v>1524</v>
      </c>
      <c r="F62" s="5" t="s">
        <v>1789</v>
      </c>
      <c r="G62" s="5" t="s">
        <v>1790</v>
      </c>
    </row>
    <row r="63" customFormat="false" ht="15" hidden="false" customHeight="false" outlineLevel="0" collapsed="false">
      <c r="A63" s="5" t="s">
        <v>452</v>
      </c>
      <c r="B63" s="5" t="s">
        <v>112</v>
      </c>
      <c r="C63" s="5" t="s">
        <v>429</v>
      </c>
      <c r="D63" s="5" t="s">
        <v>457</v>
      </c>
      <c r="E63" s="5" t="s">
        <v>1524</v>
      </c>
      <c r="F63" s="5" t="s">
        <v>1789</v>
      </c>
      <c r="G63" s="5" t="s">
        <v>1790</v>
      </c>
    </row>
    <row r="64" customFormat="false" ht="15" hidden="false" customHeight="false" outlineLevel="0" collapsed="false">
      <c r="A64" s="5" t="s">
        <v>271</v>
      </c>
      <c r="B64" s="5" t="s">
        <v>112</v>
      </c>
      <c r="C64" s="5" t="s">
        <v>238</v>
      </c>
      <c r="D64" s="5" t="s">
        <v>277</v>
      </c>
      <c r="E64" s="5" t="s">
        <v>1524</v>
      </c>
      <c r="F64" s="5" t="s">
        <v>1789</v>
      </c>
      <c r="G64" s="5" t="s">
        <v>1790</v>
      </c>
    </row>
    <row r="65" customFormat="false" ht="15" hidden="false" customHeight="false" outlineLevel="0" collapsed="false">
      <c r="A65" s="5" t="s">
        <v>436</v>
      </c>
      <c r="B65" s="5" t="s">
        <v>112</v>
      </c>
      <c r="C65" s="5" t="s">
        <v>429</v>
      </c>
      <c r="D65" s="5" t="s">
        <v>442</v>
      </c>
      <c r="E65" s="5" t="s">
        <v>1524</v>
      </c>
      <c r="F65" s="5" t="s">
        <v>1789</v>
      </c>
      <c r="G65" s="5" t="s">
        <v>1808</v>
      </c>
    </row>
    <row r="66" customFormat="false" ht="15" hidden="false" customHeight="false" outlineLevel="0" collapsed="false">
      <c r="A66" s="5" t="s">
        <v>500</v>
      </c>
      <c r="B66" s="5" t="s">
        <v>112</v>
      </c>
      <c r="C66" s="5" t="s">
        <v>493</v>
      </c>
      <c r="D66" s="5" t="s">
        <v>506</v>
      </c>
      <c r="E66" s="5" t="s">
        <v>1524</v>
      </c>
      <c r="F66" s="5" t="s">
        <v>1789</v>
      </c>
      <c r="G66" s="5" t="s">
        <v>1790</v>
      </c>
    </row>
    <row r="67" customFormat="false" ht="15" hidden="false" customHeight="false" outlineLevel="0" collapsed="false">
      <c r="A67" s="5" t="s">
        <v>1005</v>
      </c>
      <c r="B67" s="5" t="s">
        <v>112</v>
      </c>
      <c r="C67" s="5" t="s">
        <v>837</v>
      </c>
      <c r="D67" s="5" t="s">
        <v>1011</v>
      </c>
      <c r="E67" s="5" t="s">
        <v>1522</v>
      </c>
      <c r="F67" s="5" t="s">
        <v>1791</v>
      </c>
      <c r="G67" s="5" t="s">
        <v>1792</v>
      </c>
    </row>
    <row r="68" customFormat="false" ht="15" hidden="false" customHeight="false" outlineLevel="0" collapsed="false">
      <c r="A68" s="5" t="s">
        <v>879</v>
      </c>
      <c r="B68" s="5" t="s">
        <v>112</v>
      </c>
      <c r="C68" s="5" t="s">
        <v>836</v>
      </c>
      <c r="D68" s="5" t="s">
        <v>885</v>
      </c>
      <c r="E68" s="5" t="s">
        <v>1522</v>
      </c>
      <c r="F68" s="5" t="s">
        <v>1791</v>
      </c>
      <c r="G68" s="5" t="s">
        <v>1792</v>
      </c>
    </row>
    <row r="69" customFormat="false" ht="15" hidden="false" customHeight="false" outlineLevel="0" collapsed="false">
      <c r="A69" s="5" t="s">
        <v>1127</v>
      </c>
      <c r="B69" s="5" t="s">
        <v>112</v>
      </c>
      <c r="C69" s="5" t="s">
        <v>519</v>
      </c>
      <c r="D69" s="5" t="s">
        <v>1134</v>
      </c>
      <c r="E69" s="5" t="s">
        <v>1522</v>
      </c>
      <c r="F69" s="5" t="s">
        <v>1791</v>
      </c>
      <c r="G69" s="5" t="s">
        <v>1792</v>
      </c>
    </row>
    <row r="70" customFormat="false" ht="15" hidden="false" customHeight="false" outlineLevel="0" collapsed="false">
      <c r="A70" s="5" t="s">
        <v>618</v>
      </c>
      <c r="B70" s="5" t="s">
        <v>112</v>
      </c>
      <c r="C70" s="5" t="s">
        <v>559</v>
      </c>
      <c r="D70" s="5" t="s">
        <v>625</v>
      </c>
      <c r="E70" s="5" t="s">
        <v>1522</v>
      </c>
      <c r="F70" s="5" t="s">
        <v>1791</v>
      </c>
      <c r="G70" s="5" t="s">
        <v>1792</v>
      </c>
    </row>
    <row r="71" customFormat="false" ht="15" hidden="false" customHeight="false" outlineLevel="0" collapsed="false">
      <c r="A71" s="5" t="s">
        <v>800</v>
      </c>
      <c r="B71" s="5" t="s">
        <v>112</v>
      </c>
      <c r="C71" s="5" t="s">
        <v>770</v>
      </c>
      <c r="D71" s="5" t="s">
        <v>806</v>
      </c>
      <c r="E71" s="5" t="s">
        <v>1522</v>
      </c>
      <c r="F71" s="5" t="s">
        <v>1791</v>
      </c>
      <c r="G71" s="5" t="s">
        <v>1792</v>
      </c>
    </row>
    <row r="72" customFormat="false" ht="15" hidden="false" customHeight="false" outlineLevel="0" collapsed="false">
      <c r="A72" s="5" t="s">
        <v>680</v>
      </c>
      <c r="B72" s="5" t="s">
        <v>112</v>
      </c>
      <c r="C72" s="5" t="s">
        <v>632</v>
      </c>
      <c r="D72" s="5" t="s">
        <v>686</v>
      </c>
      <c r="E72" s="5" t="s">
        <v>1522</v>
      </c>
      <c r="F72" s="5" t="s">
        <v>1791</v>
      </c>
      <c r="G72" s="5" t="s">
        <v>1793</v>
      </c>
    </row>
    <row r="73" customFormat="false" ht="15" hidden="false" customHeight="false" outlineLevel="0" collapsed="false">
      <c r="A73" s="5" t="s">
        <v>601</v>
      </c>
      <c r="B73" s="5" t="s">
        <v>112</v>
      </c>
      <c r="C73" s="5" t="s">
        <v>559</v>
      </c>
      <c r="D73" s="5" t="s">
        <v>607</v>
      </c>
      <c r="E73" s="5" t="s">
        <v>1522</v>
      </c>
      <c r="F73" s="5" t="s">
        <v>1791</v>
      </c>
      <c r="G73" s="5" t="s">
        <v>1792</v>
      </c>
    </row>
    <row r="74" customFormat="false" ht="15" hidden="false" customHeight="false" outlineLevel="0" collapsed="false">
      <c r="A74" s="5" t="s">
        <v>672</v>
      </c>
      <c r="B74" s="5" t="s">
        <v>112</v>
      </c>
      <c r="C74" s="5" t="s">
        <v>632</v>
      </c>
      <c r="D74" s="5" t="s">
        <v>678</v>
      </c>
      <c r="E74" s="5" t="s">
        <v>1522</v>
      </c>
      <c r="F74" s="5" t="s">
        <v>1791</v>
      </c>
      <c r="G74" s="5" t="s">
        <v>1793</v>
      </c>
    </row>
    <row r="75" customFormat="false" ht="15" hidden="false" customHeight="false" outlineLevel="0" collapsed="false">
      <c r="A75" s="5" t="s">
        <v>749</v>
      </c>
      <c r="B75" s="5" t="s">
        <v>112</v>
      </c>
      <c r="C75" s="5" t="s">
        <v>693</v>
      </c>
      <c r="D75" s="5" t="s">
        <v>755</v>
      </c>
      <c r="E75" s="5" t="s">
        <v>1522</v>
      </c>
      <c r="F75" s="5" t="s">
        <v>1791</v>
      </c>
      <c r="G75" s="5" t="s">
        <v>1792</v>
      </c>
    </row>
    <row r="76" customFormat="false" ht="15" hidden="false" customHeight="false" outlineLevel="0" collapsed="false">
      <c r="A76" s="5" t="s">
        <v>1070</v>
      </c>
      <c r="B76" s="5" t="s">
        <v>112</v>
      </c>
      <c r="C76" s="5" t="s">
        <v>519</v>
      </c>
      <c r="D76" s="5" t="s">
        <v>1076</v>
      </c>
      <c r="E76" s="5" t="s">
        <v>1521</v>
      </c>
      <c r="F76" s="5" t="s">
        <v>1795</v>
      </c>
      <c r="G76" s="5" t="s">
        <v>1796</v>
      </c>
    </row>
    <row r="77" customFormat="false" ht="15" hidden="false" customHeight="false" outlineLevel="0" collapsed="false">
      <c r="A77" s="5" t="s">
        <v>895</v>
      </c>
      <c r="B77" s="5" t="s">
        <v>112</v>
      </c>
      <c r="C77" s="5" t="s">
        <v>836</v>
      </c>
      <c r="D77" s="5" t="s">
        <v>901</v>
      </c>
      <c r="E77" s="5" t="s">
        <v>1521</v>
      </c>
      <c r="F77" s="5" t="s">
        <v>1797</v>
      </c>
      <c r="G77" s="5" t="s">
        <v>1809</v>
      </c>
    </row>
    <row r="78" customFormat="false" ht="15" hidden="false" customHeight="false" outlineLevel="0" collapsed="false">
      <c r="A78" s="5" t="s">
        <v>1102</v>
      </c>
      <c r="B78" s="5" t="s">
        <v>112</v>
      </c>
      <c r="C78" s="5" t="s">
        <v>519</v>
      </c>
      <c r="D78" s="5" t="s">
        <v>1109</v>
      </c>
      <c r="E78" s="5" t="s">
        <v>1521</v>
      </c>
      <c r="F78" s="5" t="s">
        <v>1795</v>
      </c>
      <c r="G78" s="5" t="s">
        <v>1796</v>
      </c>
    </row>
    <row r="79" customFormat="false" ht="15" hidden="false" customHeight="false" outlineLevel="0" collapsed="false">
      <c r="A79" s="5" t="s">
        <v>539</v>
      </c>
      <c r="B79" s="5" t="s">
        <v>112</v>
      </c>
      <c r="C79" s="5" t="s">
        <v>493</v>
      </c>
      <c r="D79" s="5" t="s">
        <v>544</v>
      </c>
      <c r="E79" s="5" t="s">
        <v>1521</v>
      </c>
      <c r="F79" s="5" t="s">
        <v>1795</v>
      </c>
      <c r="G79" s="5" t="s">
        <v>1810</v>
      </c>
    </row>
    <row r="80" customFormat="false" ht="15" hidden="false" customHeight="false" outlineLevel="0" collapsed="false">
      <c r="A80" s="5" t="s">
        <v>135</v>
      </c>
      <c r="B80" s="5" t="s">
        <v>112</v>
      </c>
      <c r="C80" s="5" t="s">
        <v>127</v>
      </c>
      <c r="D80" s="5"/>
      <c r="E80" s="5" t="s">
        <v>1526</v>
      </c>
      <c r="F80" s="5"/>
      <c r="G80" s="5"/>
    </row>
    <row r="81" customFormat="false" ht="15" hidden="false" customHeight="false" outlineLevel="0" collapsed="false">
      <c r="A81" s="5" t="s">
        <v>170</v>
      </c>
      <c r="B81" s="5" t="s">
        <v>112</v>
      </c>
      <c r="C81" s="5" t="s">
        <v>127</v>
      </c>
      <c r="D81" s="5"/>
      <c r="E81" s="5" t="s">
        <v>1526</v>
      </c>
      <c r="F81" s="5"/>
      <c r="G81" s="5"/>
    </row>
    <row r="82" customFormat="false" ht="15" hidden="false" customHeight="false" outlineLevel="0" collapsed="false">
      <c r="A82" s="5" t="s">
        <v>225</v>
      </c>
      <c r="B82" s="5" t="s">
        <v>112</v>
      </c>
      <c r="C82" s="5" t="s">
        <v>182</v>
      </c>
      <c r="D82" s="5" t="s">
        <v>231</v>
      </c>
      <c r="E82" s="5" t="s">
        <v>1523</v>
      </c>
      <c r="F82" s="5" t="s">
        <v>1799</v>
      </c>
      <c r="G82" s="5" t="s">
        <v>1801</v>
      </c>
    </row>
    <row r="83" customFormat="false" ht="15" hidden="false" customHeight="false" outlineLevel="0" collapsed="false">
      <c r="A83" s="5" t="s">
        <v>872</v>
      </c>
      <c r="B83" s="5" t="s">
        <v>112</v>
      </c>
      <c r="C83" s="5" t="s">
        <v>836</v>
      </c>
      <c r="D83" s="5" t="s">
        <v>877</v>
      </c>
      <c r="E83" s="5" t="s">
        <v>1525</v>
      </c>
      <c r="F83" s="5" t="s">
        <v>1802</v>
      </c>
      <c r="G83" s="5" t="s">
        <v>1803</v>
      </c>
    </row>
    <row r="84" customFormat="false" ht="15" hidden="false" customHeight="false" outlineLevel="0" collapsed="false">
      <c r="A84" s="6"/>
      <c r="B84" s="6"/>
      <c r="C84" s="6"/>
      <c r="D84" s="6"/>
      <c r="E84" s="6"/>
      <c r="F84" s="6"/>
      <c r="G84" s="6"/>
    </row>
    <row r="85" customFormat="false" ht="15" hidden="false" customHeight="false" outlineLevel="0" collapsed="false">
      <c r="A85" s="7" t="s">
        <v>1811</v>
      </c>
      <c r="B85" s="6"/>
      <c r="C85" s="6"/>
      <c r="D85" s="6"/>
      <c r="E85" s="6"/>
      <c r="F85" s="6"/>
      <c r="G85" s="6"/>
    </row>
    <row r="86" customFormat="false" ht="15" hidden="false" customHeight="false" outlineLevel="0" collapsed="false">
      <c r="A86" s="4" t="s">
        <v>1812</v>
      </c>
      <c r="B86" s="4" t="s">
        <v>69</v>
      </c>
      <c r="C86" s="4" t="s">
        <v>112</v>
      </c>
      <c r="D86" s="6"/>
      <c r="E86" s="6"/>
      <c r="F86" s="6"/>
      <c r="G86" s="6"/>
    </row>
    <row r="87" customFormat="false" ht="15" hidden="false" customHeight="false" outlineLevel="0" collapsed="false">
      <c r="A87" s="5" t="s">
        <v>1524</v>
      </c>
      <c r="B87" s="5" t="n">
        <f aca="false">COUNTIFS($E$2:$E$83,A87,$B$2:$B$83,"development")</f>
        <v>23</v>
      </c>
      <c r="C87" s="5" t="n">
        <f aca="false">COUNTIFS($E$2:$E$83,A87,$B$2:$B$83,"validation")</f>
        <v>21</v>
      </c>
      <c r="D87" s="6"/>
      <c r="E87" s="6"/>
      <c r="F87" s="6"/>
      <c r="G87" s="6"/>
    </row>
    <row r="88" customFormat="false" ht="22.35" hidden="false" customHeight="false" outlineLevel="0" collapsed="false">
      <c r="A88" s="5" t="s">
        <v>1522</v>
      </c>
      <c r="B88" s="5" t="n">
        <f aca="false">COUNTIFS($E$2:$E$83,A88,$B$2:$B$83,"development")</f>
        <v>15</v>
      </c>
      <c r="C88" s="5" t="n">
        <f aca="false">COUNTIFS($E$2:$E$83,A88,$B$2:$B$83,"validation")</f>
        <v>9</v>
      </c>
      <c r="D88" s="6"/>
      <c r="E88" s="6"/>
      <c r="F88" s="6"/>
      <c r="G88" s="6"/>
    </row>
    <row r="89" customFormat="false" ht="15" hidden="false" customHeight="false" outlineLevel="0" collapsed="false">
      <c r="A89" s="5" t="s">
        <v>1521</v>
      </c>
      <c r="B89" s="5" t="n">
        <f aca="false">COUNTIFS($E$2:$E$83,A89,$B$2:$B$83,"development")</f>
        <v>3</v>
      </c>
      <c r="C89" s="5" t="n">
        <f aca="false">COUNTIFS($E$2:$E$83,A89,$B$2:$B$83,"validation")</f>
        <v>4</v>
      </c>
      <c r="D89" s="6"/>
      <c r="E89" s="6"/>
      <c r="F89" s="6"/>
      <c r="G89" s="6"/>
    </row>
    <row r="90" customFormat="false" ht="15" hidden="false" customHeight="false" outlineLevel="0" collapsed="false">
      <c r="A90" s="5" t="s">
        <v>1523</v>
      </c>
      <c r="B90" s="5" t="n">
        <f aca="false">COUNTIFS($E$2:$E$83,A90,$B$2:$B$83,"development")</f>
        <v>2</v>
      </c>
      <c r="C90" s="5" t="n">
        <f aca="false">COUNTIFS($E$2:$E$83,A90,$B$2:$B$83,"validation")</f>
        <v>1</v>
      </c>
      <c r="D90" s="6"/>
      <c r="E90" s="6"/>
      <c r="F90" s="6"/>
      <c r="G90" s="6"/>
    </row>
    <row r="91" customFormat="false" ht="15" hidden="false" customHeight="false" outlineLevel="0" collapsed="false">
      <c r="A91" s="5" t="s">
        <v>1525</v>
      </c>
      <c r="B91" s="5" t="n">
        <f aca="false">COUNTIFS($E$2:$E$83,A91,$B$2:$B$83,"development")</f>
        <v>1</v>
      </c>
      <c r="C91" s="5" t="n">
        <f aca="false">COUNTIFS($E$2:$E$83,A91,$B$2:$B$83,"validation")</f>
        <v>1</v>
      </c>
      <c r="D91" s="6"/>
      <c r="E91" s="6"/>
      <c r="F91" s="6"/>
      <c r="G91" s="6"/>
    </row>
    <row r="92" customFormat="false" ht="15" hidden="false" customHeight="false" outlineLevel="0" collapsed="false">
      <c r="A92" s="5" t="s">
        <v>1526</v>
      </c>
      <c r="B92" s="5" t="n">
        <f aca="false">COUNTIFS($E$2:$E$83,A92,$B$2:$B$83,"development")</f>
        <v>0</v>
      </c>
      <c r="C92" s="5" t="n">
        <f aca="false">COUNTIFS($E$2:$E$83,A92,$B$2:$B$83,"validation")</f>
        <v>2</v>
      </c>
      <c r="D92" s="6"/>
      <c r="E92" s="6"/>
      <c r="F92" s="6"/>
      <c r="G92" s="6"/>
    </row>
    <row r="93" customFormat="false" ht="15" hidden="false" customHeight="false" outlineLevel="0" collapsed="false">
      <c r="A93" s="7" t="s">
        <v>1782</v>
      </c>
      <c r="B93" s="6" t="n">
        <f aca="false">SUM(B87:B92)</f>
        <v>44</v>
      </c>
      <c r="C93" s="6" t="n">
        <f aca="false">SUM(C87:C92)</f>
        <v>38</v>
      </c>
      <c r="D93" s="6"/>
      <c r="E93" s="6"/>
      <c r="F93" s="6"/>
      <c r="G93" s="6"/>
    </row>
    <row r="94" customFormat="false" ht="15" hidden="false" customHeight="false" outlineLevel="0" collapsed="false">
      <c r="A94" s="6"/>
      <c r="B94" s="6"/>
      <c r="C94" s="6"/>
      <c r="D94" s="6"/>
      <c r="E94" s="6"/>
      <c r="F94" s="6"/>
      <c r="G94" s="6"/>
    </row>
    <row r="95" customFormat="false" ht="15" hidden="false" customHeight="false" outlineLevel="0" collapsed="false">
      <c r="A95" s="8" t="s">
        <v>1813</v>
      </c>
      <c r="B95" s="6"/>
      <c r="C95" s="6"/>
      <c r="D95" s="6"/>
      <c r="E95" s="6"/>
      <c r="F95" s="6"/>
      <c r="G95" s="6"/>
    </row>
  </sheetData>
  <autoFilter ref="A1:G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5" min="3" style="0" width="50"/>
    <col collapsed="false" customWidth="true" hidden="false" outlineLevel="0" max="6" min="6" style="0" width="40"/>
  </cols>
  <sheetData>
    <row r="1" customFormat="false" ht="15" hidden="false" customHeight="false" outlineLevel="0" collapsed="false">
      <c r="A1" s="4" t="s">
        <v>15</v>
      </c>
      <c r="B1" s="4" t="s">
        <v>1812</v>
      </c>
      <c r="C1" s="4" t="s">
        <v>1814</v>
      </c>
      <c r="D1" s="4" t="s">
        <v>1815</v>
      </c>
      <c r="E1" s="4" t="s">
        <v>1816</v>
      </c>
      <c r="F1" s="4" t="s">
        <v>1560</v>
      </c>
    </row>
    <row r="2" customFormat="false" ht="22.35" hidden="false" customHeight="false" outlineLevel="0" collapsed="false">
      <c r="A2" s="5" t="s">
        <v>143</v>
      </c>
      <c r="B2" s="5" t="s">
        <v>21</v>
      </c>
      <c r="C2" s="5" t="s">
        <v>1817</v>
      </c>
      <c r="D2" s="5" t="s">
        <v>147</v>
      </c>
      <c r="E2" s="5" t="s">
        <v>1818</v>
      </c>
      <c r="F2" s="5" t="s">
        <v>1819</v>
      </c>
    </row>
    <row r="3" customFormat="false" ht="22.35" hidden="false" customHeight="false" outlineLevel="0" collapsed="false">
      <c r="A3" s="5" t="s">
        <v>208</v>
      </c>
      <c r="B3" s="5" t="s">
        <v>21</v>
      </c>
      <c r="C3" s="5" t="s">
        <v>1820</v>
      </c>
      <c r="D3" s="5" t="s">
        <v>212</v>
      </c>
      <c r="E3" s="5" t="s">
        <v>1821</v>
      </c>
      <c r="F3" s="5" t="s">
        <v>1819</v>
      </c>
    </row>
    <row r="4" customFormat="false" ht="22.35" hidden="false" customHeight="false" outlineLevel="0" collapsed="false">
      <c r="A4" s="5" t="s">
        <v>233</v>
      </c>
      <c r="B4" s="5" t="s">
        <v>21</v>
      </c>
      <c r="C4" s="5" t="s">
        <v>1822</v>
      </c>
      <c r="D4" s="5" t="s">
        <v>237</v>
      </c>
      <c r="E4" s="5" t="s">
        <v>1823</v>
      </c>
      <c r="F4" s="5" t="s">
        <v>1819</v>
      </c>
    </row>
    <row r="5" customFormat="false" ht="22.35" hidden="false" customHeight="false" outlineLevel="0" collapsed="false">
      <c r="A5" s="5" t="s">
        <v>688</v>
      </c>
      <c r="B5" s="5" t="s">
        <v>21</v>
      </c>
      <c r="C5" s="5" t="s">
        <v>1824</v>
      </c>
      <c r="D5" s="5" t="s">
        <v>692</v>
      </c>
      <c r="E5" s="5" t="s">
        <v>1825</v>
      </c>
      <c r="F5" s="5" t="s">
        <v>1819</v>
      </c>
    </row>
    <row r="6" customFormat="false" ht="22.35" hidden="false" customHeight="false" outlineLevel="0" collapsed="false">
      <c r="A6" s="5" t="s">
        <v>845</v>
      </c>
      <c r="B6" s="5" t="s">
        <v>21</v>
      </c>
      <c r="C6" s="5" t="s">
        <v>1826</v>
      </c>
      <c r="D6" s="5" t="s">
        <v>849</v>
      </c>
      <c r="E6" s="5" t="s">
        <v>1827</v>
      </c>
      <c r="F6" s="5" t="s">
        <v>1819</v>
      </c>
    </row>
    <row r="7" customFormat="false" ht="22.35" hidden="false" customHeight="false" outlineLevel="0" collapsed="false">
      <c r="A7" s="5" t="s">
        <v>122</v>
      </c>
      <c r="B7" s="5" t="s">
        <v>21</v>
      </c>
      <c r="C7" s="5" t="s">
        <v>1828</v>
      </c>
      <c r="D7" s="5" t="s">
        <v>126</v>
      </c>
      <c r="E7" s="5" t="s">
        <v>1829</v>
      </c>
      <c r="F7" s="5" t="s">
        <v>1819</v>
      </c>
    </row>
    <row r="8" customFormat="false" ht="22.35" hidden="false" customHeight="false" outlineLevel="0" collapsed="false">
      <c r="A8" s="5" t="s">
        <v>217</v>
      </c>
      <c r="B8" s="5" t="s">
        <v>21</v>
      </c>
      <c r="C8" s="5" t="s">
        <v>1830</v>
      </c>
      <c r="D8" s="5" t="s">
        <v>221</v>
      </c>
      <c r="E8" s="5" t="s">
        <v>1829</v>
      </c>
      <c r="F8" s="5" t="s">
        <v>1819</v>
      </c>
    </row>
    <row r="9" customFormat="false" ht="22.35" hidden="false" customHeight="false" outlineLevel="0" collapsed="false">
      <c r="A9" s="5" t="s">
        <v>436</v>
      </c>
      <c r="B9" s="5" t="s">
        <v>21</v>
      </c>
      <c r="C9" s="5" t="s">
        <v>1831</v>
      </c>
      <c r="D9" s="5" t="s">
        <v>440</v>
      </c>
      <c r="E9" s="5" t="s">
        <v>1829</v>
      </c>
      <c r="F9" s="5" t="s">
        <v>1819</v>
      </c>
    </row>
    <row r="10" customFormat="false" ht="22.35" hidden="false" customHeight="false" outlineLevel="0" collapsed="false">
      <c r="A10" s="5" t="s">
        <v>466</v>
      </c>
      <c r="B10" s="5" t="s">
        <v>21</v>
      </c>
      <c r="C10" s="5" t="s">
        <v>1832</v>
      </c>
      <c r="D10" s="5" t="s">
        <v>470</v>
      </c>
      <c r="E10" s="5" t="s">
        <v>1829</v>
      </c>
      <c r="F10" s="5" t="s">
        <v>1819</v>
      </c>
    </row>
    <row r="11" customFormat="false" ht="22.35" hidden="false" customHeight="false" outlineLevel="0" collapsed="false">
      <c r="A11" s="5" t="s">
        <v>1102</v>
      </c>
      <c r="B11" s="5" t="s">
        <v>21</v>
      </c>
      <c r="C11" s="5" t="s">
        <v>1833</v>
      </c>
      <c r="D11" s="5" t="s">
        <v>1834</v>
      </c>
      <c r="E11" s="5" t="s">
        <v>1835</v>
      </c>
      <c r="F11" s="5" t="s">
        <v>1819</v>
      </c>
    </row>
    <row r="12" customFormat="false" ht="22.35" hidden="false" customHeight="false" outlineLevel="0" collapsed="false">
      <c r="A12" s="5" t="s">
        <v>976</v>
      </c>
      <c r="B12" s="5" t="s">
        <v>21</v>
      </c>
      <c r="C12" s="5" t="s">
        <v>1836</v>
      </c>
      <c r="D12" s="5" t="s">
        <v>1837</v>
      </c>
      <c r="E12" s="5" t="s">
        <v>1838</v>
      </c>
      <c r="F12" s="5" t="s">
        <v>1839</v>
      </c>
    </row>
    <row r="13" customFormat="false" ht="22.35" hidden="false" customHeight="false" outlineLevel="0" collapsed="false">
      <c r="A13" s="5" t="s">
        <v>957</v>
      </c>
      <c r="B13" s="5" t="s">
        <v>21</v>
      </c>
      <c r="C13" s="5" t="s">
        <v>1840</v>
      </c>
      <c r="D13" s="5" t="s">
        <v>1841</v>
      </c>
      <c r="E13" s="5" t="s">
        <v>1842</v>
      </c>
      <c r="F13" s="5" t="s">
        <v>1819</v>
      </c>
    </row>
    <row r="14" customFormat="false" ht="32.8" hidden="false" customHeight="false" outlineLevel="0" collapsed="false">
      <c r="A14" s="5" t="s">
        <v>1127</v>
      </c>
      <c r="B14" s="5" t="s">
        <v>1843</v>
      </c>
      <c r="C14" s="5" t="s">
        <v>1844</v>
      </c>
      <c r="D14" s="5" t="s">
        <v>1845</v>
      </c>
      <c r="E14" s="5" t="s">
        <v>1846</v>
      </c>
      <c r="F14" s="5" t="s">
        <v>1847</v>
      </c>
    </row>
    <row r="15" customFormat="false" ht="43.25" hidden="false" customHeight="false" outlineLevel="0" collapsed="false">
      <c r="A15" s="5" t="s">
        <v>808</v>
      </c>
      <c r="B15" s="5" t="s">
        <v>1848</v>
      </c>
      <c r="C15" s="5" t="s">
        <v>1849</v>
      </c>
      <c r="D15" s="5" t="s">
        <v>1850</v>
      </c>
      <c r="E15" s="5" t="s">
        <v>1851</v>
      </c>
      <c r="F15" s="5" t="s">
        <v>1852</v>
      </c>
    </row>
    <row r="16" customFormat="false" ht="15" hidden="false" customHeight="false" outlineLevel="0" collapsed="false">
      <c r="A16" s="5" t="s">
        <v>1219</v>
      </c>
      <c r="B16" s="5" t="s">
        <v>1853</v>
      </c>
      <c r="C16" s="5" t="s">
        <v>1854</v>
      </c>
      <c r="D16" s="5" t="s">
        <v>1855</v>
      </c>
      <c r="E16" s="5" t="s">
        <v>1856</v>
      </c>
      <c r="F16" s="5" t="s">
        <v>1857</v>
      </c>
    </row>
    <row r="17" customFormat="false" ht="15" hidden="false" customHeight="false" outlineLevel="0" collapsed="false">
      <c r="A17" s="5" t="s">
        <v>80</v>
      </c>
      <c r="B17" s="5" t="s">
        <v>1531</v>
      </c>
      <c r="C17" s="5" t="s">
        <v>1858</v>
      </c>
      <c r="D17" s="5" t="s">
        <v>83</v>
      </c>
      <c r="E17" s="5" t="s">
        <v>1859</v>
      </c>
      <c r="F17" s="5" t="s">
        <v>1857</v>
      </c>
    </row>
    <row r="18" customFormat="false" ht="15" hidden="false" customHeight="false" outlineLevel="0" collapsed="false">
      <c r="A18" s="5" t="s">
        <v>1216</v>
      </c>
      <c r="B18" s="5" t="s">
        <v>1860</v>
      </c>
      <c r="C18" s="5" t="s">
        <v>1861</v>
      </c>
      <c r="D18" s="5" t="s">
        <v>1862</v>
      </c>
      <c r="E18" s="5" t="s">
        <v>1863</v>
      </c>
      <c r="F18" s="5" t="s">
        <v>1857</v>
      </c>
    </row>
    <row r="19" customFormat="false" ht="126.85" hidden="false" customHeight="false" outlineLevel="0" collapsed="false">
      <c r="A19" s="5" t="s">
        <v>1225</v>
      </c>
      <c r="B19" s="5" t="s">
        <v>1864</v>
      </c>
      <c r="C19" s="5"/>
      <c r="D19" s="5" t="s">
        <v>1865</v>
      </c>
      <c r="E19" s="5" t="s">
        <v>1866</v>
      </c>
      <c r="F19" s="5" t="s">
        <v>1867</v>
      </c>
    </row>
  </sheetData>
  <autoFilter ref="A1:F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3" min="3" style="0" width="110"/>
  </cols>
  <sheetData>
    <row r="1" customFormat="false" ht="15" hidden="false" customHeight="false" outlineLevel="0" collapsed="false">
      <c r="A1" s="4" t="s">
        <v>1714</v>
      </c>
      <c r="B1" s="4" t="s">
        <v>1868</v>
      </c>
      <c r="C1" s="4" t="s">
        <v>1869</v>
      </c>
    </row>
    <row r="2" customFormat="false" ht="15" hidden="false" customHeight="false" outlineLevel="0" collapsed="false">
      <c r="A2" s="5" t="s">
        <v>1870</v>
      </c>
      <c r="B2" s="5" t="s">
        <v>1871</v>
      </c>
      <c r="C2" s="5" t="s">
        <v>1872</v>
      </c>
    </row>
    <row r="3" customFormat="false" ht="22.35" hidden="false" customHeight="false" outlineLevel="0" collapsed="false">
      <c r="A3" s="5" t="s">
        <v>1870</v>
      </c>
      <c r="B3" s="5" t="s">
        <v>1873</v>
      </c>
      <c r="C3" s="5" t="s">
        <v>1874</v>
      </c>
    </row>
    <row r="4" customFormat="false" ht="15" hidden="false" customHeight="false" outlineLevel="0" collapsed="false">
      <c r="A4" s="5" t="s">
        <v>1870</v>
      </c>
      <c r="B4" s="5" t="s">
        <v>1875</v>
      </c>
      <c r="C4" s="5" t="s">
        <v>1876</v>
      </c>
    </row>
    <row r="5" customFormat="false" ht="22.35" hidden="false" customHeight="false" outlineLevel="0" collapsed="false">
      <c r="A5" s="5" t="s">
        <v>1870</v>
      </c>
      <c r="B5" s="5" t="s">
        <v>1877</v>
      </c>
      <c r="C5" s="5" t="s">
        <v>1878</v>
      </c>
    </row>
    <row r="6" customFormat="false" ht="22.35" hidden="false" customHeight="false" outlineLevel="0" collapsed="false">
      <c r="A6" s="5" t="s">
        <v>1870</v>
      </c>
      <c r="B6" s="5" t="s">
        <v>1879</v>
      </c>
      <c r="C6" s="5" t="s">
        <v>1880</v>
      </c>
    </row>
    <row r="7" customFormat="false" ht="22.35" hidden="false" customHeight="false" outlineLevel="0" collapsed="false">
      <c r="A7" s="5" t="s">
        <v>1870</v>
      </c>
      <c r="B7" s="5" t="s">
        <v>1881</v>
      </c>
      <c r="C7" s="5" t="s">
        <v>1882</v>
      </c>
    </row>
    <row r="8" customFormat="false" ht="22.35" hidden="false" customHeight="false" outlineLevel="0" collapsed="false">
      <c r="A8" s="5" t="s">
        <v>1870</v>
      </c>
      <c r="B8" s="5" t="s">
        <v>1883</v>
      </c>
      <c r="C8" s="5" t="s">
        <v>1884</v>
      </c>
    </row>
    <row r="9" customFormat="false" ht="22.35" hidden="false" customHeight="false" outlineLevel="0" collapsed="false">
      <c r="A9" s="5" t="s">
        <v>1722</v>
      </c>
      <c r="B9" s="5" t="s">
        <v>1885</v>
      </c>
      <c r="C9" s="5" t="s">
        <v>1886</v>
      </c>
    </row>
    <row r="10" customFormat="false" ht="22.35" hidden="false" customHeight="false" outlineLevel="0" collapsed="false">
      <c r="A10" s="5" t="s">
        <v>1722</v>
      </c>
      <c r="B10" s="5" t="s">
        <v>1887</v>
      </c>
      <c r="C10" s="5" t="s">
        <v>1888</v>
      </c>
    </row>
    <row r="11" customFormat="false" ht="32.8" hidden="false" customHeight="false" outlineLevel="0" collapsed="false">
      <c r="A11" s="5" t="s">
        <v>1722</v>
      </c>
      <c r="B11" s="5" t="s">
        <v>1889</v>
      </c>
      <c r="C11" s="5" t="s">
        <v>1890</v>
      </c>
    </row>
    <row r="12" customFormat="false" ht="32.8" hidden="false" customHeight="false" outlineLevel="0" collapsed="false">
      <c r="A12" s="5" t="s">
        <v>1722</v>
      </c>
      <c r="B12" s="5" t="s">
        <v>1891</v>
      </c>
      <c r="C12" s="5" t="s">
        <v>1892</v>
      </c>
    </row>
    <row r="13" customFormat="false" ht="32.8" hidden="false" customHeight="false" outlineLevel="0" collapsed="false">
      <c r="A13" s="5" t="s">
        <v>1722</v>
      </c>
      <c r="B13" s="5" t="s">
        <v>1893</v>
      </c>
      <c r="C13" s="5" t="s">
        <v>1894</v>
      </c>
    </row>
    <row r="14" customFormat="false" ht="22.35" hidden="false" customHeight="false" outlineLevel="0" collapsed="false">
      <c r="A14" s="5" t="s">
        <v>1722</v>
      </c>
      <c r="B14" s="5" t="s">
        <v>1895</v>
      </c>
      <c r="C14" s="5" t="s">
        <v>1896</v>
      </c>
    </row>
    <row r="15" customFormat="false" ht="32.8" hidden="false" customHeight="false" outlineLevel="0" collapsed="false">
      <c r="A15" s="5" t="s">
        <v>1722</v>
      </c>
      <c r="B15" s="5" t="s">
        <v>1897</v>
      </c>
      <c r="C15" s="5" t="s">
        <v>1898</v>
      </c>
    </row>
    <row r="16" customFormat="false" ht="22.35" hidden="false" customHeight="false" outlineLevel="0" collapsed="false">
      <c r="A16" s="5" t="s">
        <v>1722</v>
      </c>
      <c r="B16" s="5" t="s">
        <v>1899</v>
      </c>
      <c r="C16" s="5" t="s">
        <v>1900</v>
      </c>
    </row>
    <row r="17" customFormat="false" ht="22.35" hidden="false" customHeight="false" outlineLevel="0" collapsed="false">
      <c r="A17" s="5" t="s">
        <v>1722</v>
      </c>
      <c r="B17" s="5" t="s">
        <v>1901</v>
      </c>
      <c r="C17" s="5" t="s">
        <v>1902</v>
      </c>
    </row>
    <row r="18" customFormat="false" ht="22.35" hidden="false" customHeight="false" outlineLevel="0" collapsed="false">
      <c r="A18" s="5" t="s">
        <v>1722</v>
      </c>
      <c r="B18" s="5" t="s">
        <v>1903</v>
      </c>
      <c r="C18" s="5" t="s">
        <v>1904</v>
      </c>
    </row>
    <row r="19" customFormat="false" ht="22.35" hidden="false" customHeight="false" outlineLevel="0" collapsed="false">
      <c r="A19" s="5" t="s">
        <v>1727</v>
      </c>
      <c r="B19" s="5" t="s">
        <v>1905</v>
      </c>
      <c r="C19" s="5" t="s">
        <v>1906</v>
      </c>
    </row>
    <row r="20" customFormat="false" ht="32.8" hidden="false" customHeight="false" outlineLevel="0" collapsed="false">
      <c r="A20" s="5" t="s">
        <v>1727</v>
      </c>
      <c r="B20" s="5" t="s">
        <v>1907</v>
      </c>
      <c r="C20" s="5" t="s">
        <v>1908</v>
      </c>
    </row>
    <row r="21" customFormat="false" ht="32.8" hidden="false" customHeight="false" outlineLevel="0" collapsed="false">
      <c r="A21" s="5" t="s">
        <v>1727</v>
      </c>
      <c r="B21" s="5" t="s">
        <v>1909</v>
      </c>
      <c r="C21" s="5" t="s">
        <v>1910</v>
      </c>
    </row>
    <row r="22" customFormat="false" ht="22.35" hidden="false" customHeight="false" outlineLevel="0" collapsed="false">
      <c r="A22" s="5" t="s">
        <v>1727</v>
      </c>
      <c r="B22" s="5" t="s">
        <v>1911</v>
      </c>
      <c r="C22" s="5" t="s">
        <v>1912</v>
      </c>
    </row>
    <row r="23" customFormat="false" ht="43.25" hidden="false" customHeight="false" outlineLevel="0" collapsed="false">
      <c r="A23" s="5" t="s">
        <v>1727</v>
      </c>
      <c r="B23" s="5" t="s">
        <v>1913</v>
      </c>
      <c r="C23" s="5" t="s">
        <v>1914</v>
      </c>
    </row>
    <row r="24" customFormat="false" ht="22.35" hidden="false" customHeight="false" outlineLevel="0" collapsed="false">
      <c r="A24" s="5" t="s">
        <v>1727</v>
      </c>
      <c r="B24" s="5" t="s">
        <v>1915</v>
      </c>
      <c r="C24" s="5" t="s">
        <v>1916</v>
      </c>
    </row>
    <row r="25" customFormat="false" ht="43.25" hidden="false" customHeight="false" outlineLevel="0" collapsed="false">
      <c r="A25" s="5" t="s">
        <v>1727</v>
      </c>
      <c r="B25" s="5" t="s">
        <v>1917</v>
      </c>
      <c r="C25" s="5" t="s">
        <v>1918</v>
      </c>
    </row>
    <row r="26" customFormat="false" ht="32.8" hidden="false" customHeight="false" outlineLevel="0" collapsed="false">
      <c r="A26" s="5" t="s">
        <v>1727</v>
      </c>
      <c r="B26" s="5" t="s">
        <v>1919</v>
      </c>
      <c r="C26" s="5" t="s">
        <v>1920</v>
      </c>
    </row>
    <row r="27" customFormat="false" ht="32.8" hidden="false" customHeight="false" outlineLevel="0" collapsed="false">
      <c r="A27" s="5" t="s">
        <v>1727</v>
      </c>
      <c r="B27" s="5" t="s">
        <v>1921</v>
      </c>
      <c r="C27" s="5" t="s">
        <v>1922</v>
      </c>
    </row>
    <row r="28" customFormat="false" ht="53.7" hidden="false" customHeight="false" outlineLevel="0" collapsed="false">
      <c r="A28" s="5" t="s">
        <v>1727</v>
      </c>
      <c r="B28" s="5" t="s">
        <v>1923</v>
      </c>
      <c r="C28" s="5" t="s">
        <v>1924</v>
      </c>
    </row>
    <row r="29" customFormat="false" ht="53.7" hidden="false" customHeight="false" outlineLevel="0" collapsed="false">
      <c r="A29" s="5" t="s">
        <v>1727</v>
      </c>
      <c r="B29" s="5" t="s">
        <v>1925</v>
      </c>
      <c r="C29" s="5" t="s">
        <v>1926</v>
      </c>
    </row>
    <row r="30" customFormat="false" ht="43.25" hidden="false" customHeight="false" outlineLevel="0" collapsed="false">
      <c r="A30" s="5" t="s">
        <v>1727</v>
      </c>
      <c r="B30" s="5" t="s">
        <v>1927</v>
      </c>
      <c r="C30" s="5" t="s">
        <v>1928</v>
      </c>
    </row>
  </sheetData>
  <autoFilter ref="A1:C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2026-10-20T12:20:30Z</dcterms:created>
  <dc:creator>openpyxl</dc:creator>
  <dc:description/>
  <dc:language>en-US</dc:language>
  <cp:lastModifiedBy/>
  <dcterms:modified xsi:type="dcterms:W3CDTF">2026-10-20T12:20:31Z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